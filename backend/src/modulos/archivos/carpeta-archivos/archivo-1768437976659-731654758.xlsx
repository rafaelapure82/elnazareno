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3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JuanV\Documents\"/>
    </mc:Choice>
  </mc:AlternateContent>
  <xr:revisionPtr revIDLastSave="0" documentId="8_{21D0B6A6-C9FB-4344-82D3-3001DAAF945B}" xr6:coauthVersionLast="47" xr6:coauthVersionMax="47" xr10:uidLastSave="{00000000-0000-0000-0000-000000000000}"/>
  <bookViews>
    <workbookView xWindow="-120" yWindow="-120" windowWidth="20730" windowHeight="11760" xr2:uid="{958E2E85-474C-4FD9-A9CE-BBE286905513}"/>
  </bookViews>
  <sheets>
    <sheet name="Hoja_1" sheetId="1" r:id="rId1"/>
    <sheet name="Hoja_2" sheetId="2" r:id="rId2"/>
    <sheet name="Hoja_3" sheetId="3" r:id="rId3"/>
    <sheet name="Hoja_4" sheetId="4" r:id="rId4"/>
    <sheet name="Hoja_5" sheetId="5" r:id="rId5"/>
    <sheet name="Hoja_6" sheetId="6" r:id="rId6"/>
    <sheet name="Hoja_7" sheetId="7" r:id="rId7"/>
    <sheet name="Hoja_8" sheetId="8" r:id="rId8"/>
    <sheet name="Hoja_9" sheetId="9" r:id="rId9"/>
    <sheet name="Hoja_10" sheetId="10" r:id="rId10"/>
    <sheet name="Hoja_4_(8)" sheetId="11" r:id="rId11"/>
    <sheet name="Hoja_4_(9)" sheetId="12" r:id="rId1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Q57" i="12" l="1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58" i="12" s="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58" i="11" s="1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57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58" i="8" s="1"/>
  <c r="Q21" i="9" s="1"/>
  <c r="Q58" i="9" s="1"/>
  <c r="Q21" i="10" s="1"/>
  <c r="Q58" i="10" s="1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57" i="1"/>
  <c r="Q56" i="1"/>
  <c r="Q55" i="1"/>
  <c r="Q54" i="1"/>
  <c r="Q53" i="1"/>
  <c r="Q52" i="1"/>
  <c r="Q50" i="1"/>
  <c r="Q49" i="1"/>
  <c r="Q47" i="1"/>
  <c r="Q46" i="1"/>
  <c r="Q45" i="1"/>
  <c r="Q43" i="1"/>
  <c r="Q42" i="1"/>
  <c r="Q41" i="1"/>
  <c r="Q40" i="1"/>
  <c r="Q39" i="1"/>
  <c r="Q37" i="1"/>
  <c r="Q36" i="1"/>
  <c r="Q34" i="1"/>
  <c r="Q33" i="1"/>
  <c r="Q32" i="1"/>
  <c r="Q30" i="1"/>
  <c r="Q29" i="1"/>
  <c r="Q28" i="1"/>
  <c r="Q26" i="1"/>
  <c r="Q25" i="1"/>
  <c r="Q24" i="1"/>
  <c r="Q23" i="1"/>
  <c r="Q22" i="1"/>
  <c r="Q21" i="1"/>
</calcChain>
</file>

<file path=xl/sharedStrings.xml><?xml version="1.0" encoding="utf-8"?>
<sst xmlns="http://purl.oclc.org/ooxml/spreadsheetml/main" count="1778" uniqueCount="392">
  <si>
    <t>INVENTARIO DE BIENES NACIONALES</t>
  </si>
  <si>
    <t>FECHA:</t>
  </si>
  <si>
    <t>MINISTERIO DE FINANZAS</t>
  </si>
  <si>
    <t>X</t>
  </si>
  <si>
    <t xml:space="preserve">  BIENES MUEBLES</t>
  </si>
  <si>
    <t xml:space="preserve">  MATERIALES</t>
  </si>
  <si>
    <t xml:space="preserve">HOJA                   </t>
  </si>
  <si>
    <t>1/10</t>
  </si>
  <si>
    <t xml:space="preserve">    SISTEMA DE SIGECOF</t>
  </si>
  <si>
    <t>4. ORGANISMO</t>
  </si>
  <si>
    <t>Código:</t>
  </si>
  <si>
    <t>Denominación:</t>
  </si>
  <si>
    <t>MINISTERIO DEL PODER POPULAR PARA LA EDUCACIÓN</t>
  </si>
  <si>
    <t>5. UNIDAD ADMINISTRATIVA</t>
  </si>
  <si>
    <t>OD06231201</t>
  </si>
  <si>
    <t>CE MARIELBA RODRIGUEZ</t>
  </si>
  <si>
    <t>6. DEPENDENCIA USUARIA</t>
  </si>
  <si>
    <t>NER NUCLEO RURAL 393</t>
  </si>
  <si>
    <t>7. RESPONSABLE ALMACÉN</t>
  </si>
  <si>
    <t>Apellidos y Nombres</t>
  </si>
  <si>
    <t>C.I:</t>
  </si>
  <si>
    <t>1124DB</t>
  </si>
  <si>
    <t>NEYLA CEBALLOS</t>
  </si>
  <si>
    <t>8. CANTIDAD</t>
  </si>
  <si>
    <t>9. CÓDIGO CATÁLOGO</t>
  </si>
  <si>
    <t>10 . N° DEL  INVENTARIO BIEN</t>
  </si>
  <si>
    <t>11. DESCRIPCIÓN</t>
  </si>
  <si>
    <t>13. VALOR UNITARIO</t>
  </si>
  <si>
    <t>14 VALOR TOTAL</t>
  </si>
  <si>
    <t>1</t>
  </si>
  <si>
    <t>14010-0047</t>
  </si>
  <si>
    <t>0001</t>
  </si>
  <si>
    <t>Dinamos  ( modelo QB-80A, ser ial 20200102122)</t>
  </si>
  <si>
    <t>18020-0002</t>
  </si>
  <si>
    <t>Carteleras (madera color marron)</t>
  </si>
  <si>
    <t>0002</t>
  </si>
  <si>
    <t>18020-0023</t>
  </si>
  <si>
    <t>Pizarrones (Acrilico, Grande)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</si>
  <si>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</si>
  <si>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</si>
  <si>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</si>
  <si>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</si>
  <si>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</si>
  <si>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</si>
  <si>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</si>
  <si>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</si>
  <si>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</si>
  <si>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</si>
  <si>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</si>
  <si>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18020-0025</t>
  </si>
  <si>
    <t xml:space="preserve"> Pupitres</t>
  </si>
  <si>
    <t>18020-0027</t>
  </si>
  <si>
    <t>Sillas pupitre (metal /formica, color beige)</t>
  </si>
  <si>
    <t>0014</t>
  </si>
  <si>
    <t>0015</t>
  </si>
  <si>
    <t>0016</t>
  </si>
  <si>
    <t>0017</t>
  </si>
  <si>
    <t>0018</t>
  </si>
  <si>
    <t>0019</t>
  </si>
  <si>
    <t>VAN....</t>
  </si>
  <si>
    <t>15.   RESPONSABLE  DEL LEVANTAMIENTO Y DE LA APROBACIÓN DE LA INFORMACIÓN</t>
  </si>
  <si>
    <t>APELLIDOS   Y  NOMBRES</t>
  </si>
  <si>
    <t>CARGO</t>
  </si>
  <si>
    <t>PREPARADO POR:</t>
  </si>
  <si>
    <t>SUB DIRECTOR ADMINISTRATIVO</t>
  </si>
  <si>
    <t>APROBADO POR:</t>
  </si>
  <si>
    <t>MILAGRO DELGADO</t>
  </si>
  <si>
    <t>DIRECTORA</t>
  </si>
  <si>
    <t>2/10</t>
  </si>
  <si>
    <t>VIENEN....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</si>
  <si>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</si>
  <si>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</si>
  <si>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</si>
  <si>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</si>
  <si>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</si>
  <si>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</si>
  <si>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</si>
  <si>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</si>
  <si>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</si>
  <si>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</si>
  <si>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</si>
  <si>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</si>
  <si>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</si>
  <si>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</si>
  <si>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</si>
  <si>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</si>
  <si>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</si>
  <si>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</si>
  <si>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</si>
  <si>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</si>
  <si>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</si>
  <si>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</si>
  <si>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</si>
  <si>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</si>
  <si>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</si>
  <si>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</si>
  <si>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</si>
  <si>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</si>
  <si>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</si>
  <si>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</si>
  <si>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</si>
  <si>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</si>
  <si>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</si>
  <si>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</si>
  <si>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</si>
  <si>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</si>
  <si>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3/10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</si>
  <si>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</si>
  <si>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</si>
  <si>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</si>
  <si>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</si>
  <si>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</si>
  <si>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</si>
  <si>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</si>
  <si>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</si>
  <si>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</si>
  <si>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</si>
  <si>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</si>
  <si>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</si>
  <si>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</si>
  <si>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</si>
  <si>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</si>
  <si>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</si>
  <si>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</si>
  <si>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</si>
  <si>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</si>
  <si>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</si>
  <si>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</si>
  <si>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</si>
  <si>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</si>
  <si>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</si>
  <si>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</si>
  <si>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</si>
  <si>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</si>
  <si>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</si>
  <si>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</si>
  <si>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</si>
  <si>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</si>
  <si>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</si>
  <si>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</si>
  <si>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</si>
  <si>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</si>
  <si>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</si>
  <si>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4/10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</si>
  <si>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</si>
  <si>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</si>
  <si>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</si>
  <si>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</si>
  <si>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</si>
  <si>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</si>
  <si>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</si>
  <si>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</si>
  <si>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</si>
  <si>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</si>
  <si>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</si>
  <si>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</si>
  <si>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</si>
  <si>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</si>
  <si>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</si>
  <si>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</si>
  <si>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</si>
  <si>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</si>
  <si>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</si>
  <si>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</si>
  <si>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</si>
  <si>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</si>
  <si>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</si>
  <si>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</si>
  <si>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</si>
  <si>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</si>
  <si>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</si>
  <si>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</si>
  <si>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</si>
  <si>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</si>
  <si>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</si>
  <si>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</si>
  <si>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</si>
  <si>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</si>
  <si>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</si>
  <si>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</si>
  <si>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5/10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</si>
  <si>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</si>
  <si>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</si>
  <si>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</si>
  <si>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</si>
  <si>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</si>
  <si>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</si>
  <si>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</si>
  <si>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</si>
  <si>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</si>
  <si>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</si>
  <si>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</si>
  <si>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</si>
  <si>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</si>
  <si>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</si>
  <si>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</si>
  <si>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</si>
  <si>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</si>
  <si>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</si>
  <si>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</si>
  <si>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</si>
  <si>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</si>
  <si>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</si>
  <si>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</si>
  <si>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</si>
  <si>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</si>
  <si>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</si>
  <si>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</si>
  <si>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</si>
  <si>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</si>
  <si>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</si>
  <si>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</si>
  <si>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</si>
  <si>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</si>
  <si>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</si>
  <si>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</si>
  <si>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</si>
  <si>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6/10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</si>
  <si>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</si>
  <si>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</si>
  <si>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</si>
  <si>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</si>
  <si>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</si>
  <si>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</si>
  <si>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</si>
  <si>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</si>
  <si>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</si>
  <si>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</si>
  <si>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</si>
  <si>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</si>
  <si>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</si>
  <si>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</si>
  <si>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</si>
  <si>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</si>
  <si>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</si>
  <si>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</si>
  <si>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</si>
  <si>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</si>
  <si>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</si>
  <si>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</si>
  <si>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</si>
  <si>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</si>
  <si>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</si>
  <si>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</si>
  <si>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</si>
  <si>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</si>
  <si>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</si>
  <si>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</si>
  <si>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</si>
  <si>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</si>
  <si>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</si>
  <si>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</si>
  <si>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</si>
  <si>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</si>
  <si>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7/10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</si>
  <si>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</si>
  <si>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</si>
  <si>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</si>
  <si>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</si>
  <si>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</si>
  <si>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</si>
  <si>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</si>
  <si>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</si>
  <si>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</si>
  <si>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</si>
  <si>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</si>
  <si>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</si>
  <si>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</si>
  <si>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</si>
  <si>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</si>
  <si>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</si>
  <si>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</si>
  <si>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</si>
  <si>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</si>
  <si>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</si>
  <si>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</si>
  <si>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</si>
  <si>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</si>
  <si>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</si>
  <si>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</si>
  <si>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</si>
  <si>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</si>
  <si>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</si>
  <si>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</si>
  <si>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</si>
  <si>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</si>
  <si>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</si>
  <si>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</si>
  <si>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</si>
  <si>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</si>
  <si>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</si>
  <si>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8/10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</si>
  <si>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</si>
  <si>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</si>
  <si>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</si>
  <si>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</si>
  <si>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</si>
  <si>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</si>
  <si>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</si>
  <si>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</si>
  <si>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</si>
  <si>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</si>
  <si>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</si>
  <si>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</si>
  <si>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</si>
  <si>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 xml:space="preserve">20010-0001 </t>
  </si>
  <si>
    <t>Acondicionadores de aire (Tipo ventana 5000 btu, marca Midea, serial 541203001GJ432502X2175)</t>
  </si>
  <si>
    <t xml:space="preserve">20010-0004 </t>
  </si>
  <si>
    <t>Archivadores de gavetas ( 4 gavetas de metal, color gris)</t>
  </si>
  <si>
    <t xml:space="preserve">20010-0005 </t>
  </si>
  <si>
    <t>Archivadores de puertas (2 puertas, color beige)</t>
  </si>
  <si>
    <t>Archivadores de puertas (4 gavetas, color negro)</t>
  </si>
  <si>
    <t xml:space="preserve">20010-0037 </t>
  </si>
  <si>
    <t>Escritorios (metal/ formica,  color marron)</t>
  </si>
  <si>
    <t>Escritorios (metal/ formica,  color gris)</t>
  </si>
  <si>
    <t xml:space="preserve">20010-0041 </t>
  </si>
  <si>
    <t xml:space="preserve">Estantes (metal, 2 niveles  color verde) </t>
  </si>
  <si>
    <t xml:space="preserve">Estantes (metal, 2 niveles  color blanco) </t>
  </si>
  <si>
    <t xml:space="preserve">Estantes (metal, 2 niveles  color) </t>
  </si>
  <si>
    <t xml:space="preserve">Estantes (metal, 2 niveles, color beige) </t>
  </si>
  <si>
    <t>20010-0065</t>
  </si>
  <si>
    <t>Mesas ( metal/formica, color beige)</t>
  </si>
  <si>
    <t>Mesas ( cuadrada en madera, color marron)</t>
  </si>
  <si>
    <t>Mesas ( rectangular en madera, color marron)</t>
  </si>
  <si>
    <t>9/10</t>
  </si>
  <si>
    <t>20010-0066</t>
  </si>
  <si>
    <t>20010-0067</t>
  </si>
  <si>
    <t xml:space="preserve">20010-0093 </t>
  </si>
  <si>
    <t>Sillas para escritorios (color negro/rojo)</t>
  </si>
  <si>
    <t>20010-0102</t>
  </si>
  <si>
    <t>Ventiladores (pedestal, color negro/azul)</t>
  </si>
  <si>
    <t>Ventiladores (pedestal, color negro/anaranjado)</t>
  </si>
  <si>
    <t xml:space="preserve">20090-0016 </t>
  </si>
  <si>
    <t xml:space="preserve">Banderas nacionales </t>
  </si>
  <si>
    <t xml:space="preserve">20090-0017 </t>
  </si>
  <si>
    <t>Bañeras móviles (color beige)</t>
  </si>
  <si>
    <t xml:space="preserve">20090-0029 </t>
  </si>
  <si>
    <t xml:space="preserve">Calderos </t>
  </si>
  <si>
    <t xml:space="preserve">20090-0035 </t>
  </si>
  <si>
    <t>Cocinas móviles (2 estufas)</t>
  </si>
  <si>
    <t xml:space="preserve">20090-0039 </t>
  </si>
  <si>
    <t>Congeladoras (marca Condesa, serial 60-P9390903-4714-1040276, color blanco)</t>
  </si>
  <si>
    <t>Congeladoras (modelo HF09CM10NW, serial B3005-CB0N0-0BUGA-U0107, color blanco)</t>
  </si>
  <si>
    <t xml:space="preserve">20090-0049 </t>
  </si>
  <si>
    <t xml:space="preserve">Enfriadores de agua </t>
  </si>
  <si>
    <t xml:space="preserve">20090-0054 </t>
  </si>
  <si>
    <t xml:space="preserve">Estantes (metal, 2 niveles  color beige) </t>
  </si>
  <si>
    <t xml:space="preserve">20090-0079 </t>
  </si>
  <si>
    <t>Licuadoras (industrial de aluminio, color gris )</t>
  </si>
  <si>
    <t xml:space="preserve">20090-0098 </t>
  </si>
  <si>
    <t>Mesones (carniceria de acero inoxidable, color gris)</t>
  </si>
  <si>
    <t xml:space="preserve">20090-0105 </t>
  </si>
  <si>
    <t xml:space="preserve">Ollas grandes </t>
  </si>
  <si>
    <t xml:space="preserve">20090-0123 </t>
  </si>
  <si>
    <t xml:space="preserve">Sartenes </t>
  </si>
  <si>
    <t xml:space="preserve">20090-0125 </t>
  </si>
  <si>
    <t>Sillas (metal/mimbre, color beige/anaranjado)</t>
  </si>
  <si>
    <t>Sillas (pequeña de metal/madera, color marron)</t>
  </si>
  <si>
    <t>10/10</t>
  </si>
  <si>
    <t>Sillas (estructura de metal, inoperativas)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</si>
  <si>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</si>
  <si>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</si>
  <si>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</si>
  <si>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</si>
  <si>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</si>
  <si>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</si>
  <si>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</si>
  <si>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</si>
  <si>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</si>
  <si>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</si>
  <si>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</si>
  <si>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</si>
  <si>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</si>
  <si>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</si>
  <si>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</si>
  <si>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</si>
  <si>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</si>
  <si>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</si>
  <si>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</si>
  <si>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</si>
  <si>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</si>
  <si>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</si>
  <si>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</si>
  <si>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</si>
  <si>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</si>
  <si>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</si>
  <si>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</si>
  <si>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</si>
  <si>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</si>
  <si>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</si>
  <si>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 xml:space="preserve">20990-0001 </t>
  </si>
  <si>
    <t xml:space="preserve">Otras máquinas, muebles y demás equipos de oficina y alojamiento (Planta de sonido, 5 canales, color negro)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</si>
</sst>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 &quot;#,##0&quot; &quot;;&quot;-&quot;#,##0&quot; &quot;;&quot; -&quot;00&quot; &quot;;&quot; &quot;@&quot; &quot;"/>
    <numFmt numFmtId="165" formatCode="dd/mm/yy"/>
    <numFmt numFmtId="166" formatCode="&quot; &quot;#,##0.00&quot; &quot;;&quot;-&quot;#,##0.00&quot; &quot;;&quot; -&quot;00&quot; &quot;;&quot; &quot;@&quot; &quot;"/>
    <numFmt numFmtId="167" formatCode="[$BsF-200A]#,##0.00;[Red]&quot;(&quot;[$BsF-200A]#,##0.00&quot;)&quot;"/>
  </numFmts>
  <fonts count="20">
    <font>
      <sz val="11"/>
      <color rgb="FF000000"/>
      <name val="Liberation Sans"/>
    </font>
    <font>
      <sz val="11"/>
      <color rgb="FF000000"/>
      <name val="Liberation Sans"/>
    </font>
    <font>
      <b/>
      <sz val="11"/>
      <color rgb="FF000000"/>
      <name val="Liberation Sans"/>
    </font>
    <font>
      <b/>
      <sz val="11"/>
      <color rgb="FFFFFFFF"/>
      <name val="Liberation Sans"/>
    </font>
    <font>
      <sz val="11"/>
      <color rgb="FFCC0000"/>
      <name val="Liberation Sans"/>
    </font>
    <font>
      <i/>
      <sz val="11"/>
      <color rgb="FF808080"/>
      <name val="Liberation Sans"/>
    </font>
    <font>
      <sz val="11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1"/>
      <color rgb="FF0000EE"/>
      <name val="Liberation Sans"/>
    </font>
    <font>
      <sz val="11"/>
      <color rgb="FF996600"/>
      <name val="Liberation Sans"/>
    </font>
    <font>
      <sz val="11"/>
      <color rgb="FF333333"/>
      <name val="Liberation Sans"/>
    </font>
    <font>
      <b/>
      <i/>
      <u/>
      <sz val="11"/>
      <color rgb="FF000000"/>
      <name val="Liberation Sans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3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  <border>
      <start style="thin">
        <color rgb="FF333333"/>
      </start>
      <end/>
      <top style="thin">
        <color rgb="FF333333"/>
      </top>
      <bottom/>
      <diagonal/>
    </border>
    <border>
      <start/>
      <end/>
      <top style="thin">
        <color rgb="FF333333"/>
      </top>
      <bottom/>
      <diagonal/>
    </border>
    <border>
      <start/>
      <end style="thin">
        <color rgb="FF333333"/>
      </end>
      <top style="thin">
        <color rgb="FF333333"/>
      </top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 style="thin">
        <color rgb="FF333333"/>
      </end>
      <top/>
      <bottom/>
      <diagonal/>
    </border>
    <border>
      <start style="thin">
        <color rgb="FF333333"/>
      </start>
      <end/>
      <top/>
      <bottom/>
      <diagonal/>
    </border>
    <border>
      <start style="thin">
        <color rgb="FF333333"/>
      </start>
      <end style="thin">
        <color rgb="FF333333"/>
      </end>
      <top style="thin">
        <color rgb="FF333333"/>
      </top>
      <bottom style="thin">
        <color rgb="FF333333"/>
      </bottom>
      <diagonal/>
    </border>
    <border>
      <start style="thin">
        <color rgb="FF333333"/>
      </start>
      <end style="thin">
        <color rgb="FF333333"/>
      </end>
      <top/>
      <bottom/>
      <diagonal/>
    </border>
    <border>
      <start/>
      <end style="thin">
        <color rgb="FF333333"/>
      </end>
      <top/>
      <bottom style="thin">
        <color rgb="FF000000"/>
      </bottom>
      <diagonal/>
    </border>
    <border>
      <start style="thin">
        <color rgb="FF333333"/>
      </start>
      <end style="thin">
        <color rgb="FF333333"/>
      </end>
      <top/>
      <bottom style="thin">
        <color rgb="FF000000"/>
      </bottom>
      <diagonal/>
    </border>
    <border>
      <start style="thin">
        <color rgb="FF333333"/>
      </start>
      <end/>
      <top/>
      <bottom style="thin">
        <color rgb="FF333333"/>
      </bottom>
      <diagonal/>
    </border>
    <border>
      <start/>
      <end style="thin">
        <color rgb="FF333333"/>
      </end>
      <top style="thin">
        <color rgb="FF000000"/>
      </top>
      <bottom style="thin">
        <color rgb="FF333333"/>
      </bottom>
      <diagonal/>
    </border>
    <border>
      <start style="thin">
        <color rgb="FF333333"/>
      </start>
      <end/>
      <top style="thin">
        <color rgb="FF333333"/>
      </top>
      <bottom style="thin">
        <color rgb="FF333333"/>
      </bottom>
      <diagonal/>
    </border>
    <border>
      <start style="thin">
        <color rgb="FF000000"/>
      </start>
      <end/>
      <top style="thin">
        <color rgb="FF333333"/>
      </top>
      <bottom style="thin">
        <color rgb="FF333333"/>
      </bottom>
      <diagonal/>
    </border>
    <border>
      <start/>
      <end style="thin">
        <color rgb="FF333333"/>
      </end>
      <top style="thin">
        <color rgb="FF333333"/>
      </top>
      <bottom style="thin">
        <color rgb="FF000000"/>
      </bottom>
      <diagonal/>
    </border>
    <border>
      <start style="thin">
        <color rgb="FF333333"/>
      </start>
      <end style="thin">
        <color rgb="FF333333"/>
      </end>
      <top/>
      <bottom style="thin">
        <color rgb="FF333333"/>
      </bottom>
      <diagonal/>
    </border>
    <border>
      <start style="thin">
        <color rgb="FF000000"/>
      </start>
      <end/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</borders>
  <cellStyleXfs count="22">
    <xf numFmtId="0" fontId="0" fillId="0" borderId="0"/>
    <xf numFmtId="166" fontId="1" fillId="0" borderId="0" applyFont="0" applyFill="0" applyBorder="0" applyAlignment="0" applyProtection="0"/>
    <xf numFmtId="0" fontId="11" fillId="8" borderId="0" applyNumberFormat="0" applyBorder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7" fillId="0" borderId="0" applyNumberFormat="0" applyBorder="0" applyProtection="0">
      <alignment textRotation="90"/>
    </xf>
    <xf numFmtId="0" fontId="10" fillId="0" borderId="0" applyNumberFormat="0" applyBorder="0" applyProtection="0"/>
    <xf numFmtId="0" fontId="12" fillId="8" borderId="1" applyNumberFormat="0" applyProtection="0"/>
    <xf numFmtId="0" fontId="13" fillId="0" borderId="0" applyNumberFormat="0" applyBorder="0" applyProtection="0"/>
    <xf numFmtId="167" fontId="13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71">
    <xf numFmtId="0" fontId="0" fillId="0" borderId="0" xfId="0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6" fillId="0" borderId="5" xfId="0" applyFont="1" applyBorder="1" applyAlignment="1">
      <alignment horizontal="left"/>
    </xf>
    <xf numFmtId="165" fontId="16" fillId="0" borderId="5" xfId="0" applyNumberFormat="1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9" fontId="16" fillId="0" borderId="5" xfId="0" applyNumberFormat="1" applyFont="1" applyBorder="1" applyAlignment="1">
      <alignment horizontal="center"/>
    </xf>
    <xf numFmtId="0" fontId="17" fillId="0" borderId="12" xfId="0" applyFont="1" applyBorder="1"/>
    <xf numFmtId="0" fontId="17" fillId="0" borderId="12" xfId="0" applyFont="1" applyBorder="1" applyAlignment="1">
      <alignment horizontal="left" vertical="center"/>
    </xf>
    <xf numFmtId="0" fontId="17" fillId="0" borderId="14" xfId="0" applyFont="1" applyBorder="1" applyAlignment="1">
      <alignment horizontal="center"/>
    </xf>
    <xf numFmtId="0" fontId="17" fillId="0" borderId="14" xfId="0" applyFont="1" applyBorder="1"/>
    <xf numFmtId="0" fontId="17" fillId="0" borderId="14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6" fillId="9" borderId="5" xfId="0" applyFont="1" applyFill="1" applyBorder="1" applyAlignment="1">
      <alignment horizontal="center" vertical="center" wrapText="1"/>
    </xf>
    <xf numFmtId="0" fontId="16" fillId="9" borderId="18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49" fontId="17" fillId="10" borderId="20" xfId="0" applyNumberFormat="1" applyFont="1" applyFill="1" applyBorder="1" applyAlignment="1">
      <alignment horizontal="center"/>
    </xf>
    <xf numFmtId="49" fontId="17" fillId="0" borderId="5" xfId="0" applyNumberFormat="1" applyFont="1" applyBorder="1" applyAlignment="1">
      <alignment horizontal="center"/>
    </xf>
    <xf numFmtId="49" fontId="17" fillId="0" borderId="5" xfId="0" applyNumberFormat="1" applyFont="1" applyBorder="1"/>
    <xf numFmtId="4" fontId="19" fillId="0" borderId="5" xfId="0" applyNumberFormat="1" applyFont="1" applyBorder="1" applyAlignment="1">
      <alignment horizontal="center"/>
    </xf>
    <xf numFmtId="4" fontId="19" fillId="0" borderId="21" xfId="0" applyNumberFormat="1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/>
    </xf>
    <xf numFmtId="0" fontId="17" fillId="10" borderId="20" xfId="0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49" fontId="17" fillId="10" borderId="22" xfId="0" applyNumberFormat="1" applyFon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4" fontId="19" fillId="0" borderId="22" xfId="0" applyNumberFormat="1" applyFont="1" applyBorder="1" applyAlignment="1">
      <alignment horizontal="center"/>
    </xf>
    <xf numFmtId="0" fontId="17" fillId="0" borderId="5" xfId="0" applyFont="1" applyBorder="1"/>
    <xf numFmtId="0" fontId="0" fillId="0" borderId="0" xfId="0"/>
    <xf numFmtId="0" fontId="15" fillId="0" borderId="0" xfId="0" applyFont="1" applyAlignment="1">
      <alignment horizontal="center"/>
    </xf>
    <xf numFmtId="0" fontId="0" fillId="0" borderId="3" xfId="0" applyFill="1" applyBorder="1"/>
    <xf numFmtId="0" fontId="18" fillId="0" borderId="6" xfId="0" applyFont="1" applyFill="1" applyBorder="1" applyAlignment="1">
      <alignment horizontal="left"/>
    </xf>
    <xf numFmtId="0" fontId="16" fillId="0" borderId="9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left"/>
    </xf>
    <xf numFmtId="0" fontId="0" fillId="0" borderId="11" xfId="0" applyFill="1" applyBorder="1"/>
    <xf numFmtId="0" fontId="16" fillId="9" borderId="5" xfId="0" applyFont="1" applyFill="1" applyBorder="1" applyAlignment="1">
      <alignment horizontal="left"/>
    </xf>
    <xf numFmtId="0" fontId="0" fillId="0" borderId="13" xfId="0" applyFill="1" applyBorder="1"/>
    <xf numFmtId="0" fontId="16" fillId="0" borderId="15" xfId="0" applyFont="1" applyFill="1" applyBorder="1" applyAlignment="1">
      <alignment horizontal="left"/>
    </xf>
    <xf numFmtId="0" fontId="16" fillId="9" borderId="8" xfId="0" applyFont="1" applyFill="1" applyBorder="1" applyAlignment="1">
      <alignment horizontal="left"/>
    </xf>
    <xf numFmtId="0" fontId="0" fillId="0" borderId="16" xfId="0" applyFill="1" applyBorder="1"/>
    <xf numFmtId="0" fontId="16" fillId="0" borderId="5" xfId="0" applyFont="1" applyFill="1" applyBorder="1" applyAlignment="1">
      <alignment horizontal="left" vertical="center"/>
    </xf>
    <xf numFmtId="0" fontId="16" fillId="9" borderId="17" xfId="0" applyFont="1" applyFill="1" applyBorder="1" applyAlignment="1">
      <alignment horizontal="left"/>
    </xf>
    <xf numFmtId="0" fontId="0" fillId="0" borderId="5" xfId="0" applyFill="1" applyBorder="1"/>
    <xf numFmtId="0" fontId="16" fillId="9" borderId="9" xfId="0" applyFont="1" applyFill="1" applyBorder="1" applyAlignment="1">
      <alignment horizontal="left"/>
    </xf>
    <xf numFmtId="0" fontId="17" fillId="0" borderId="5" xfId="0" applyFont="1" applyFill="1" applyBorder="1" applyAlignment="1">
      <alignment horizontal="left"/>
    </xf>
    <xf numFmtId="0" fontId="17" fillId="0" borderId="5" xfId="0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/>
    </xf>
    <xf numFmtId="0" fontId="0" fillId="0" borderId="4" xfId="0" applyFill="1" applyBorder="1"/>
    <xf numFmtId="164" fontId="0" fillId="0" borderId="5" xfId="1" applyNumberFormat="1" applyFont="1" applyFill="1" applyBorder="1"/>
    <xf numFmtId="0" fontId="0" fillId="0" borderId="10" xfId="0" applyFill="1" applyBorder="1"/>
    <xf numFmtId="0" fontId="16" fillId="9" borderId="5" xfId="0" applyFont="1" applyFill="1" applyBorder="1" applyAlignment="1">
      <alignment horizontal="center" vertical="center" wrapText="1"/>
    </xf>
    <xf numFmtId="49" fontId="17" fillId="0" borderId="5" xfId="0" applyNumberFormat="1" applyFont="1" applyFill="1" applyBorder="1" applyAlignment="1">
      <alignment horizontal="left"/>
    </xf>
    <xf numFmtId="0" fontId="16" fillId="0" borderId="5" xfId="0" applyFont="1" applyFill="1" applyBorder="1" applyAlignment="1">
      <alignment horizontal="center"/>
    </xf>
    <xf numFmtId="0" fontId="16" fillId="9" borderId="5" xfId="0" applyFont="1" applyFill="1" applyBorder="1"/>
    <xf numFmtId="49" fontId="17" fillId="11" borderId="5" xfId="0" applyNumberFormat="1" applyFont="1" applyFill="1" applyBorder="1"/>
    <xf numFmtId="49" fontId="16" fillId="0" borderId="5" xfId="0" applyNumberFormat="1" applyFont="1" applyFill="1" applyBorder="1" applyAlignment="1">
      <alignment horizontal="right"/>
    </xf>
    <xf numFmtId="49" fontId="17" fillId="0" borderId="5" xfId="0" applyNumberFormat="1" applyFont="1" applyFill="1" applyBorder="1" applyAlignment="1">
      <alignment horizontal="center"/>
    </xf>
    <xf numFmtId="0" fontId="17" fillId="0" borderId="5" xfId="0" applyFont="1" applyFill="1" applyBorder="1" applyAlignment="1">
      <alignment horizontal="center" vertical="center"/>
    </xf>
    <xf numFmtId="0" fontId="16" fillId="9" borderId="22" xfId="0" applyFont="1" applyFill="1" applyBorder="1"/>
    <xf numFmtId="4" fontId="16" fillId="0" borderId="5" xfId="0" applyNumberFormat="1" applyFont="1" applyBorder="1" applyAlignment="1">
      <alignment horizontal="center"/>
    </xf>
  </cellXfs>
  <cellStyles count="22">
    <cellStyle name="Accent" xfId="3" xr:uid="{B4FE3128-FD14-41B5-BB93-0C5CD8C239F0}"/>
    <cellStyle name="Accent 1" xfId="4" xr:uid="{2E68F13F-BE41-4D16-AF6C-994445259CF0}"/>
    <cellStyle name="Accent 2" xfId="5" xr:uid="{8132B7C7-EA7C-4821-8E1F-5CF621E5D872}"/>
    <cellStyle name="Accent 3" xfId="6" xr:uid="{8A82B6AE-2011-406C-8B2B-F7191E304B44}"/>
    <cellStyle name="Bad" xfId="7" xr:uid="{FA161222-105A-4F26-BB2B-4426185E681B}"/>
    <cellStyle name="Error" xfId="8" xr:uid="{2C291F26-CF48-4306-A889-16A5A8D8E903}"/>
    <cellStyle name="Footnote" xfId="9" xr:uid="{50160D49-9662-4CE4-976A-6A1F30315B2C}"/>
    <cellStyle name="Good" xfId="10" xr:uid="{06F2C63E-34A4-4B03-9776-79CE8BEC0345}"/>
    <cellStyle name="Heading" xfId="11" xr:uid="{81C8A3C9-4190-4D2A-952C-33636BB83548}"/>
    <cellStyle name="Heading 1" xfId="12" xr:uid="{241EE565-D2DB-4852-8E2C-95D0017FC888}"/>
    <cellStyle name="Heading 2" xfId="13" xr:uid="{4ABB2879-BF5F-43F4-BEEB-891E48316621}"/>
    <cellStyle name="Heading1" xfId="14" xr:uid="{068CB053-7E55-4E29-9740-5DF7C4E35329}"/>
    <cellStyle name="Hyperlink" xfId="15" xr:uid="{B30557C8-48DA-493C-A412-E924EA3A34E7}"/>
    <cellStyle name="Millares" xfId="1" builtinId="3" customBuiltin="1"/>
    <cellStyle name="Neutral" xfId="2" builtinId="28" customBuiltin="1"/>
    <cellStyle name="Normal" xfId="0" builtinId="0" customBuiltin="1"/>
    <cellStyle name="Note" xfId="16" xr:uid="{70E75AA3-53CA-4D95-A706-C226BC047628}"/>
    <cellStyle name="Result" xfId="17" xr:uid="{63FD5F18-9B87-44AC-A560-9E040BB9BACB}"/>
    <cellStyle name="Result2" xfId="18" xr:uid="{7C17401D-BAFB-411E-831C-9651BBBA174C}"/>
    <cellStyle name="Status" xfId="19" xr:uid="{3D119AD1-D9C9-4913-90BB-7A4A5DD46D3D}"/>
    <cellStyle name="Text" xfId="20" xr:uid="{4E862789-FDE8-4150-8D28-93ECB261A66F}"/>
    <cellStyle name="Warning" xfId="21" xr:uid="{FEECBBDA-D474-4631-95C8-3D2B6D1FA0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2" Type="http://purl.oclc.org/ooxml/officeDocument/relationships/worksheet" Target="worksheets/sheet2.xml"/><Relationship Id="rId16" Type="http://purl.oclc.org/ooxml/officeDocument/relationships/calcChain" Target="calcChain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A8FC7BB1-0C32-513F-72AE-F70D08E5A4A3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2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48E85B7A-B557-9735-16DF-F5A9AF4391BE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3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3795C3E1-1188-B24F-9263-8E7AA35AA12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4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CE144A39-DE25-4F90-3C43-A4F9067885AE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5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53A3C3AD-1D53-BD21-88D0-6B1A37B1CE36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6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61088F51-E923-9BD4-78D5-8ECDA2B89990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7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DD28362A-8F7C-0E65-C349-351CFB1EDACF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8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C4EC7418-F00C-C42A-92E9-B8A11575DB91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9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926457A8-03E5-4BB0-24B4-7303EAFF1F11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10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80505E1E-FC10-878C-6118-04BD674FB782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11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C8229CF7-1F17-23AE-8FDF-E6B4F8D1ADC3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drawings/drawing12.xml><?xml version="1.0" encoding="utf-8"?>
<xdr:wsDr xmlns:xdr="http://purl.oclc.org/ooxml/drawingml/spreadsheetDrawing" xmlns:a="http://purl.oclc.org/ooxml/drawingml/main">
  <xdr:absoluteAnchor>
    <xdr:pos x="0" y="18004"/>
    <xdr:ext cx="5328364" cy="672477"/>
    <xdr:pic>
      <xdr:nvPicPr>
        <xdr:cNvPr id="2" name="Imagen 1">
          <a:extLst>
            <a:ext uri="{FF2B5EF4-FFF2-40B4-BE49-F238E27FC236}">
              <a16:creationId xmlns:a16="http://schemas.microsoft.com/office/drawing/2014/main" id="{9EBF11A9-8CCC-0F45-6E3F-94DD86B60CEE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lum/>
          <a:alphaModFix/>
        </a:blip>
        <a:srcRect/>
        <a:stretch>
          <a:fillRect/>
        </a:stretch>
      </xdr:blipFill>
      <xdr:spPr>
        <a:xfrm>
          <a:off x="0" y="18004"/>
          <a:ext cx="5328364" cy="672477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purl.oclc.org/ooxml/officeDocument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purl.oclc.org/ooxml/officeDocument/relationships/drawing" Target="../drawings/drawing1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80C3-00E2-421A-B28D-FFEAD26814A4}">
  <dimension ref="A1:Q64"/>
  <sheetViews>
    <sheetView tabSelected="1" topLeftCell="A15" workbookViewId="0">
      <selection sqref="A1:D1"/>
    </sheetView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12" t="s">
        <v>7</v>
      </c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">
      <c r="A21" s="24" t="s">
        <v>29</v>
      </c>
      <c r="B21" s="19" t="s">
        <v>30</v>
      </c>
      <c r="C21" s="25" t="s">
        <v>31</v>
      </c>
      <c r="D21" s="62" t="s">
        <v>32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26" t="s">
        <v>32</v>
      </c>
      <c r="P21" s="27">
        <v>1.3600000000000001E-3</v>
      </c>
      <c r="Q21" s="28">
        <f t="shared" ref="Q21:Q26" si="0">P21*A21</f>
        <v>1.3600000000000001E-3</v>
      </c>
    </row>
    <row r="22" spans="1:17" ht="15">
      <c r="A22" s="29">
        <v>1</v>
      </c>
      <c r="B22" s="19" t="s">
        <v>33</v>
      </c>
      <c r="C22" s="25" t="s">
        <v>31</v>
      </c>
      <c r="D22" s="62" t="s">
        <v>34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 t="s">
        <v>34</v>
      </c>
      <c r="P22" s="27">
        <v>1.3600000000000001E-3</v>
      </c>
      <c r="Q22" s="28">
        <f t="shared" si="0"/>
        <v>1.3600000000000001E-3</v>
      </c>
    </row>
    <row r="23" spans="1:17" ht="15">
      <c r="A23" s="30">
        <v>1</v>
      </c>
      <c r="B23" s="19" t="s">
        <v>33</v>
      </c>
      <c r="C23" s="25" t="s">
        <v>35</v>
      </c>
      <c r="D23" s="62" t="s">
        <v>34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 t="s">
        <v>34</v>
      </c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36</v>
      </c>
      <c r="C24" s="25" t="s">
        <v>31</v>
      </c>
      <c r="D24" s="62" t="s">
        <v>37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 t="s">
        <v>37</v>
      </c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19" t="s">
        <v>36</v>
      </c>
      <c r="C25" s="25" t="s">
        <v>35</v>
      </c>
      <c r="D25" s="62" t="s">
        <v>37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 t="s">
        <v>37</v>
      </c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19" t="s">
        <v>36</v>
      </c>
      <c r="C26" s="25" t="s">
        <v>38</v>
      </c>
      <c r="D26" s="62" t="s">
        <v>37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 t="s">
        <v>37</v>
      </c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 t="s">
        <v>36</v>
      </c>
      <c r="C27" s="25" t="s">
        <v>39</v>
      </c>
      <c r="D27" s="62" t="s">
        <v>37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 t="s">
        <v>37</v>
      </c>
      <c r="P27" s="27">
        <v>1.3600000000000001E-3</v>
      </c>
      <c r="Q27" s="28">
        <v>0</v>
      </c>
    </row>
    <row r="28" spans="1:17" ht="15">
      <c r="A28" s="31">
        <v>1</v>
      </c>
      <c r="B28" s="19" t="s">
        <v>36</v>
      </c>
      <c r="C28" s="25" t="s">
        <v>40</v>
      </c>
      <c r="D28" s="62" t="s">
        <v>37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 t="s">
        <v>37</v>
      </c>
      <c r="P28" s="27">
        <v>1.3600000000000001E-3</v>
      </c>
      <c r="Q28" s="28">
        <f>P28*A28</f>
        <v>1.3600000000000001E-3</v>
      </c>
    </row>
    <row r="29" spans="1:17" ht="15">
      <c r="A29" s="31">
        <v>1</v>
      </c>
      <c r="B29" s="19" t="s">
        <v>36</v>
      </c>
      <c r="C29" s="25" t="s">
        <v>41</v>
      </c>
      <c r="D29" s="62" t="s">
        <v>37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 t="s">
        <v>37</v>
      </c>
      <c r="P29" s="27">
        <v>1.3600000000000001E-3</v>
      </c>
      <c r="Q29" s="28">
        <f>P29*A29</f>
        <v>1.3600000000000001E-3</v>
      </c>
    </row>
    <row r="30" spans="1:17" ht="15">
      <c r="A30" s="31">
        <v>1</v>
      </c>
      <c r="B30" s="19" t="s">
        <v>36</v>
      </c>
      <c r="C30" s="25" t="s">
        <v>42</v>
      </c>
      <c r="D30" s="62" t="s">
        <v>37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 t="s">
        <v>37</v>
      </c>
      <c r="P30" s="27">
        <v>1.3600000000000001E-3</v>
      </c>
      <c r="Q30" s="28">
        <f>P30*A30</f>
        <v>1.3600000000000001E-3</v>
      </c>
    </row>
    <row r="31" spans="1:17" ht="15">
      <c r="A31" s="31">
        <v>1</v>
      </c>
      <c r="B31" s="19" t="s">
        <v>36</v>
      </c>
      <c r="C31" s="25" t="s">
        <v>43</v>
      </c>
      <c r="D31" s="62" t="s">
        <v>37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 t="s">
        <v>37</v>
      </c>
      <c r="P31" s="27">
        <v>1.3600000000000001E-3</v>
      </c>
      <c r="Q31" s="28">
        <v>0</v>
      </c>
    </row>
    <row r="32" spans="1:17" ht="15">
      <c r="A32" s="31">
        <v>1</v>
      </c>
      <c r="B32" s="19" t="s">
        <v>36</v>
      </c>
      <c r="C32" s="25" t="s">
        <v>44</v>
      </c>
      <c r="D32" s="62" t="s">
        <v>37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 t="s">
        <v>37</v>
      </c>
      <c r="P32" s="27">
        <v>1.3600000000000001E-3</v>
      </c>
      <c r="Q32" s="28">
        <f>P32*A32</f>
        <v>1.3600000000000001E-3</v>
      </c>
    </row>
    <row r="33" spans="1:17" ht="15">
      <c r="A33" s="31">
        <v>1</v>
      </c>
      <c r="B33" s="19" t="s">
        <v>36</v>
      </c>
      <c r="C33" s="25" t="s">
        <v>45</v>
      </c>
      <c r="D33" s="62" t="s">
        <v>37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 t="s">
        <v>37</v>
      </c>
      <c r="P33" s="27">
        <v>1.3600000000000001E-3</v>
      </c>
      <c r="Q33" s="28">
        <f>P33*A33</f>
        <v>1.3600000000000001E-3</v>
      </c>
    </row>
    <row r="34" spans="1:17" ht="15">
      <c r="A34" s="31">
        <v>1</v>
      </c>
      <c r="B34" s="19" t="s">
        <v>36</v>
      </c>
      <c r="C34" s="25" t="s">
        <v>46</v>
      </c>
      <c r="D34" s="62" t="s">
        <v>37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 t="s">
        <v>37</v>
      </c>
      <c r="P34" s="27">
        <v>1.3600000000000001E-3</v>
      </c>
      <c r="Q34" s="28">
        <f>P34*A34</f>
        <v>1.3600000000000001E-3</v>
      </c>
    </row>
    <row r="35" spans="1:17" ht="15">
      <c r="A35" s="31">
        <v>1</v>
      </c>
      <c r="B35" s="19" t="s">
        <v>36</v>
      </c>
      <c r="C35" s="25" t="s">
        <v>47</v>
      </c>
      <c r="D35" s="62" t="s">
        <v>37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 t="s">
        <v>37</v>
      </c>
      <c r="P35" s="27">
        <v>1.3600000000000001E-3</v>
      </c>
      <c r="Q35" s="28">
        <v>0</v>
      </c>
    </row>
    <row r="36" spans="1:17" ht="15">
      <c r="A36" s="31">
        <v>1</v>
      </c>
      <c r="B36" s="19" t="s">
        <v>36</v>
      </c>
      <c r="C36" s="25" t="s">
        <v>48</v>
      </c>
      <c r="D36" s="62" t="s">
        <v>37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 t="s">
        <v>37</v>
      </c>
      <c r="P36" s="27">
        <v>1.3600000000000001E-3</v>
      </c>
      <c r="Q36" s="28">
        <f>P36*A36</f>
        <v>1.3600000000000001E-3</v>
      </c>
    </row>
    <row r="37" spans="1:17" ht="15">
      <c r="A37" s="31">
        <v>1</v>
      </c>
      <c r="B37" s="19" t="s">
        <v>49</v>
      </c>
      <c r="C37" s="25" t="s">
        <v>31</v>
      </c>
      <c r="D37" s="62" t="s">
        <v>50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 t="s">
        <v>50</v>
      </c>
      <c r="P37" s="27">
        <v>1.3600000000000001E-3</v>
      </c>
      <c r="Q37" s="28">
        <f>P37*A37</f>
        <v>1.3600000000000001E-3</v>
      </c>
    </row>
    <row r="38" spans="1:17" ht="15">
      <c r="A38" s="31">
        <v>1</v>
      </c>
      <c r="B38" s="19" t="s">
        <v>49</v>
      </c>
      <c r="C38" s="25" t="s">
        <v>35</v>
      </c>
      <c r="D38" s="62" t="s">
        <v>50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 t="s">
        <v>50</v>
      </c>
      <c r="P38" s="27">
        <v>1.3600000000000001E-3</v>
      </c>
      <c r="Q38" s="28">
        <v>0</v>
      </c>
    </row>
    <row r="39" spans="1:17" ht="15">
      <c r="A39" s="31">
        <v>1</v>
      </c>
      <c r="B39" s="19" t="s">
        <v>51</v>
      </c>
      <c r="C39" s="25" t="s">
        <v>31</v>
      </c>
      <c r="D39" s="62" t="s">
        <v>52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 t="s">
        <v>52</v>
      </c>
      <c r="P39" s="27">
        <v>1.3600000000000001E-3</v>
      </c>
      <c r="Q39" s="28">
        <f>P39*A39</f>
        <v>1.3600000000000001E-3</v>
      </c>
    </row>
    <row r="40" spans="1:17" ht="15">
      <c r="A40" s="31">
        <v>1</v>
      </c>
      <c r="B40" s="19" t="s">
        <v>51</v>
      </c>
      <c r="C40" s="25" t="s">
        <v>35</v>
      </c>
      <c r="D40" s="62" t="s">
        <v>52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 t="s">
        <v>52</v>
      </c>
      <c r="P40" s="27">
        <v>1.3600000000000001E-3</v>
      </c>
      <c r="Q40" s="28">
        <f>P40*A40</f>
        <v>1.3600000000000001E-3</v>
      </c>
    </row>
    <row r="41" spans="1:17" ht="15">
      <c r="A41" s="31">
        <v>1</v>
      </c>
      <c r="B41" s="19" t="s">
        <v>51</v>
      </c>
      <c r="C41" s="25" t="s">
        <v>38</v>
      </c>
      <c r="D41" s="62" t="s">
        <v>52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 t="s">
        <v>52</v>
      </c>
      <c r="P41" s="27">
        <v>1.3600000000000001E-3</v>
      </c>
      <c r="Q41" s="28">
        <f>P41*A41</f>
        <v>1.3600000000000001E-3</v>
      </c>
    </row>
    <row r="42" spans="1:17" ht="15">
      <c r="A42" s="31">
        <v>1</v>
      </c>
      <c r="B42" s="19" t="s">
        <v>51</v>
      </c>
      <c r="C42" s="25" t="s">
        <v>39</v>
      </c>
      <c r="D42" s="62" t="s">
        <v>52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 t="s">
        <v>52</v>
      </c>
      <c r="P42" s="27">
        <v>1.3600000000000001E-3</v>
      </c>
      <c r="Q42" s="28">
        <f>P42*A42</f>
        <v>1.3600000000000001E-3</v>
      </c>
    </row>
    <row r="43" spans="1:17" ht="15">
      <c r="A43" s="31">
        <v>1</v>
      </c>
      <c r="B43" s="19" t="s">
        <v>51</v>
      </c>
      <c r="C43" s="25" t="s">
        <v>40</v>
      </c>
      <c r="D43" s="62" t="s">
        <v>52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 t="s">
        <v>52</v>
      </c>
      <c r="P43" s="27">
        <v>1.3600000000000001E-3</v>
      </c>
      <c r="Q43" s="28">
        <f>P43*A43</f>
        <v>1.3600000000000001E-3</v>
      </c>
    </row>
    <row r="44" spans="1:17" ht="15">
      <c r="A44" s="31">
        <v>1</v>
      </c>
      <c r="B44" s="19" t="s">
        <v>51</v>
      </c>
      <c r="C44" s="25" t="s">
        <v>41</v>
      </c>
      <c r="D44" s="62" t="s">
        <v>52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 t="s">
        <v>52</v>
      </c>
      <c r="P44" s="27">
        <v>1.3600000000000001E-3</v>
      </c>
      <c r="Q44" s="28">
        <v>0</v>
      </c>
    </row>
    <row r="45" spans="1:17" ht="15">
      <c r="A45" s="31">
        <v>1</v>
      </c>
      <c r="B45" s="19" t="s">
        <v>51</v>
      </c>
      <c r="C45" s="25" t="s">
        <v>42</v>
      </c>
      <c r="D45" s="62" t="s">
        <v>52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 t="s">
        <v>52</v>
      </c>
      <c r="P45" s="27">
        <v>1.3600000000000001E-3</v>
      </c>
      <c r="Q45" s="28">
        <f>P45*A45</f>
        <v>1.3600000000000001E-3</v>
      </c>
    </row>
    <row r="46" spans="1:17" ht="15">
      <c r="A46" s="31">
        <v>1</v>
      </c>
      <c r="B46" s="19" t="s">
        <v>51</v>
      </c>
      <c r="C46" s="25" t="s">
        <v>43</v>
      </c>
      <c r="D46" s="62" t="s">
        <v>52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 t="s">
        <v>52</v>
      </c>
      <c r="P46" s="27">
        <v>1.3600000000000001E-3</v>
      </c>
      <c r="Q46" s="28">
        <f>P46*A46</f>
        <v>1.3600000000000001E-3</v>
      </c>
    </row>
    <row r="47" spans="1:17" ht="15">
      <c r="A47" s="31">
        <v>1</v>
      </c>
      <c r="B47" s="19" t="s">
        <v>51</v>
      </c>
      <c r="C47" s="25" t="s">
        <v>44</v>
      </c>
      <c r="D47" s="62" t="s">
        <v>52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 t="s">
        <v>52</v>
      </c>
      <c r="P47" s="27">
        <v>1.3600000000000001E-3</v>
      </c>
      <c r="Q47" s="28">
        <f>P47*A47</f>
        <v>1.3600000000000001E-3</v>
      </c>
    </row>
    <row r="48" spans="1:17" ht="15">
      <c r="A48" s="31">
        <v>1</v>
      </c>
      <c r="B48" s="19" t="s">
        <v>51</v>
      </c>
      <c r="C48" s="25" t="s">
        <v>45</v>
      </c>
      <c r="D48" s="62" t="s">
        <v>52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 t="s">
        <v>52</v>
      </c>
      <c r="P48" s="27">
        <v>1.3600000000000001E-3</v>
      </c>
      <c r="Q48" s="28">
        <v>0</v>
      </c>
    </row>
    <row r="49" spans="1:17" ht="15">
      <c r="A49" s="31">
        <v>1</v>
      </c>
      <c r="B49" s="19" t="s">
        <v>51</v>
      </c>
      <c r="C49" s="25" t="s">
        <v>46</v>
      </c>
      <c r="D49" s="62" t="s">
        <v>52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 t="s">
        <v>52</v>
      </c>
      <c r="P49" s="27">
        <v>1.3600000000000001E-3</v>
      </c>
      <c r="Q49" s="28">
        <f>P49*A49</f>
        <v>1.3600000000000001E-3</v>
      </c>
    </row>
    <row r="50" spans="1:17" ht="15">
      <c r="A50" s="31">
        <v>1</v>
      </c>
      <c r="B50" s="19" t="s">
        <v>51</v>
      </c>
      <c r="C50" s="25" t="s">
        <v>47</v>
      </c>
      <c r="D50" s="62" t="s">
        <v>52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 t="s">
        <v>52</v>
      </c>
      <c r="P50" s="27">
        <v>1.3600000000000001E-3</v>
      </c>
      <c r="Q50" s="28">
        <f>P50*A50</f>
        <v>1.3600000000000001E-3</v>
      </c>
    </row>
    <row r="51" spans="1:17" ht="15">
      <c r="A51" s="31">
        <v>1</v>
      </c>
      <c r="B51" s="19" t="s">
        <v>51</v>
      </c>
      <c r="C51" s="25" t="s">
        <v>48</v>
      </c>
      <c r="D51" s="62" t="s">
        <v>52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 t="s">
        <v>52</v>
      </c>
      <c r="P51" s="27">
        <v>1.3600000000000001E-3</v>
      </c>
      <c r="Q51" s="28">
        <v>0</v>
      </c>
    </row>
    <row r="52" spans="1:17" ht="15">
      <c r="A52" s="31">
        <v>1</v>
      </c>
      <c r="B52" s="19" t="s">
        <v>51</v>
      </c>
      <c r="C52" s="25" t="s">
        <v>53</v>
      </c>
      <c r="D52" s="62" t="s">
        <v>52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 t="s">
        <v>52</v>
      </c>
      <c r="P52" s="27">
        <v>1.3600000000000001E-3</v>
      </c>
      <c r="Q52" s="28">
        <f t="shared" ref="Q52:Q57" si="1">P52*A52</f>
        <v>1.3600000000000001E-3</v>
      </c>
    </row>
    <row r="53" spans="1:17" ht="15">
      <c r="A53" s="31">
        <v>1</v>
      </c>
      <c r="B53" s="19" t="s">
        <v>51</v>
      </c>
      <c r="C53" s="25" t="s">
        <v>54</v>
      </c>
      <c r="D53" s="62" t="s">
        <v>52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 t="s">
        <v>52</v>
      </c>
      <c r="P53" s="27">
        <v>1.3600000000000001E-3</v>
      </c>
      <c r="Q53" s="28">
        <f t="shared" si="1"/>
        <v>1.3600000000000001E-3</v>
      </c>
    </row>
    <row r="54" spans="1:17" ht="15">
      <c r="A54" s="31">
        <v>1</v>
      </c>
      <c r="B54" s="19" t="s">
        <v>51</v>
      </c>
      <c r="C54" s="25" t="s">
        <v>55</v>
      </c>
      <c r="D54" s="62" t="s">
        <v>52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 t="s">
        <v>52</v>
      </c>
      <c r="P54" s="27">
        <v>1.3600000000000001E-3</v>
      </c>
      <c r="Q54" s="28">
        <f t="shared" si="1"/>
        <v>1.3600000000000001E-3</v>
      </c>
    </row>
    <row r="55" spans="1:17" ht="15">
      <c r="A55" s="31">
        <v>1</v>
      </c>
      <c r="B55" s="19" t="s">
        <v>51</v>
      </c>
      <c r="C55" s="25" t="s">
        <v>56</v>
      </c>
      <c r="D55" s="62" t="s">
        <v>52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 t="s">
        <v>52</v>
      </c>
      <c r="P55" s="27">
        <v>1.3600000000000001E-3</v>
      </c>
      <c r="Q55" s="28">
        <f t="shared" si="1"/>
        <v>1.3600000000000001E-3</v>
      </c>
    </row>
    <row r="56" spans="1:17" ht="15">
      <c r="A56" s="31">
        <v>1</v>
      </c>
      <c r="B56" s="19" t="s">
        <v>51</v>
      </c>
      <c r="C56" s="25" t="s">
        <v>57</v>
      </c>
      <c r="D56" s="62" t="s">
        <v>52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 t="s">
        <v>52</v>
      </c>
      <c r="P56" s="27">
        <v>1.3600000000000001E-3</v>
      </c>
      <c r="Q56" s="28">
        <f t="shared" si="1"/>
        <v>1.3600000000000001E-3</v>
      </c>
    </row>
    <row r="57" spans="1:17" ht="15">
      <c r="A57" s="32">
        <v>1</v>
      </c>
      <c r="B57" s="19" t="s">
        <v>51</v>
      </c>
      <c r="C57" s="25" t="s">
        <v>58</v>
      </c>
      <c r="D57" s="62" t="s">
        <v>52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 t="s">
        <v>52</v>
      </c>
      <c r="P57" s="27">
        <v>1.3600000000000001E-3</v>
      </c>
      <c r="Q57" s="28">
        <f t="shared" si="1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v>0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 t="s">
        <v>22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 t="s">
        <v>64</v>
      </c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 t="s">
        <v>66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 t="s">
        <v>67</v>
      </c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BA1E-8A50-4C08-BC39-715F4589ED1B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12" t="s">
        <v>68</v>
      </c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>
        <v>0</v>
      </c>
    </row>
    <row r="22" spans="1:17" ht="15">
      <c r="A22" s="29">
        <v>1</v>
      </c>
      <c r="B22" s="19" t="s">
        <v>51</v>
      </c>
      <c r="C22" s="25" t="s">
        <v>70</v>
      </c>
      <c r="D22" s="62" t="s">
        <v>52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19" t="s">
        <v>51</v>
      </c>
      <c r="C23" s="25" t="s">
        <v>71</v>
      </c>
      <c r="D23" s="62" t="s">
        <v>52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51</v>
      </c>
      <c r="C24" s="25" t="s">
        <v>72</v>
      </c>
      <c r="D24" s="62" t="s">
        <v>52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19" t="s">
        <v>51</v>
      </c>
      <c r="C25" s="25" t="s">
        <v>73</v>
      </c>
      <c r="D25" s="62" t="s">
        <v>52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/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19" t="s">
        <v>51</v>
      </c>
      <c r="C26" s="25" t="s">
        <v>74</v>
      </c>
      <c r="D26" s="62" t="s">
        <v>52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 t="s">
        <v>51</v>
      </c>
      <c r="C27" s="25" t="s">
        <v>75</v>
      </c>
      <c r="D27" s="62" t="s">
        <v>52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19" t="s">
        <v>51</v>
      </c>
      <c r="C28" s="25" t="s">
        <v>76</v>
      </c>
      <c r="D28" s="62" t="s">
        <v>52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7">
        <v>1.3600000000000001E-3</v>
      </c>
      <c r="Q28" s="28">
        <f t="shared" si="0"/>
        <v>1.3600000000000001E-3</v>
      </c>
    </row>
    <row r="29" spans="1:17" ht="15">
      <c r="A29" s="31">
        <v>1</v>
      </c>
      <c r="B29" s="19" t="s">
        <v>51</v>
      </c>
      <c r="C29" s="25" t="s">
        <v>77</v>
      </c>
      <c r="D29" s="62" t="s">
        <v>52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19" t="s">
        <v>51</v>
      </c>
      <c r="C30" s="25" t="s">
        <v>78</v>
      </c>
      <c r="D30" s="62" t="s">
        <v>52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19" t="s">
        <v>51</v>
      </c>
      <c r="C31" s="25" t="s">
        <v>79</v>
      </c>
      <c r="D31" s="62" t="s">
        <v>52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7">
        <v>1.3600000000000001E-3</v>
      </c>
      <c r="Q31" s="28">
        <f t="shared" si="0"/>
        <v>1.3600000000000001E-3</v>
      </c>
    </row>
    <row r="32" spans="1:17" ht="15">
      <c r="A32" s="31">
        <v>1</v>
      </c>
      <c r="B32" s="19" t="s">
        <v>51</v>
      </c>
      <c r="C32" s="25" t="s">
        <v>80</v>
      </c>
      <c r="D32" s="62" t="s">
        <v>52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27">
        <v>1.3600000000000001E-3</v>
      </c>
      <c r="Q32" s="28">
        <f t="shared" si="0"/>
        <v>1.3600000000000001E-3</v>
      </c>
    </row>
    <row r="33" spans="1:17" ht="15">
      <c r="A33" s="31">
        <v>1</v>
      </c>
      <c r="B33" s="19" t="s">
        <v>51</v>
      </c>
      <c r="C33" s="25" t="s">
        <v>81</v>
      </c>
      <c r="D33" s="62" t="s">
        <v>52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19" t="s">
        <v>51</v>
      </c>
      <c r="C34" s="25" t="s">
        <v>82</v>
      </c>
      <c r="D34" s="62" t="s">
        <v>52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19" t="s">
        <v>51</v>
      </c>
      <c r="C35" s="25" t="s">
        <v>83</v>
      </c>
      <c r="D35" s="62" t="s">
        <v>52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/>
      <c r="P35" s="27">
        <v>1.3600000000000001E-3</v>
      </c>
      <c r="Q35" s="28">
        <f t="shared" si="0"/>
        <v>1.3600000000000001E-3</v>
      </c>
    </row>
    <row r="36" spans="1:17" ht="15">
      <c r="A36" s="31">
        <v>1</v>
      </c>
      <c r="B36" s="19" t="s">
        <v>51</v>
      </c>
      <c r="C36" s="25" t="s">
        <v>84</v>
      </c>
      <c r="D36" s="62" t="s">
        <v>52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27">
        <v>1.3600000000000001E-3</v>
      </c>
      <c r="Q36" s="28">
        <f t="shared" si="0"/>
        <v>1.3600000000000001E-3</v>
      </c>
    </row>
    <row r="37" spans="1:17" ht="15">
      <c r="A37" s="31">
        <v>1</v>
      </c>
      <c r="B37" s="19" t="s">
        <v>51</v>
      </c>
      <c r="C37" s="25" t="s">
        <v>85</v>
      </c>
      <c r="D37" s="62" t="s">
        <v>52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27">
        <v>1.3600000000000001E-3</v>
      </c>
      <c r="Q37" s="28">
        <f t="shared" si="0"/>
        <v>1.3600000000000001E-3</v>
      </c>
    </row>
    <row r="38" spans="1:17" ht="15">
      <c r="A38" s="31">
        <v>1</v>
      </c>
      <c r="B38" s="19" t="s">
        <v>51</v>
      </c>
      <c r="C38" s="25" t="s">
        <v>86</v>
      </c>
      <c r="D38" s="62" t="s">
        <v>52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/>
      <c r="P38" s="27">
        <v>1.3600000000000001E-3</v>
      </c>
      <c r="Q38" s="28">
        <f t="shared" si="0"/>
        <v>1.3600000000000001E-3</v>
      </c>
    </row>
    <row r="39" spans="1:17" ht="15">
      <c r="A39" s="31">
        <v>1</v>
      </c>
      <c r="B39" s="19" t="s">
        <v>51</v>
      </c>
      <c r="C39" s="25" t="s">
        <v>87</v>
      </c>
      <c r="D39" s="62" t="s">
        <v>52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/>
      <c r="P39" s="27">
        <v>1.3600000000000001E-3</v>
      </c>
      <c r="Q39" s="28">
        <f t="shared" si="0"/>
        <v>1.3600000000000001E-3</v>
      </c>
    </row>
    <row r="40" spans="1:17" ht="15">
      <c r="A40" s="31">
        <v>1</v>
      </c>
      <c r="B40" s="19" t="s">
        <v>51</v>
      </c>
      <c r="C40" s="25" t="s">
        <v>88</v>
      </c>
      <c r="D40" s="62" t="s">
        <v>52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/>
      <c r="P40" s="27">
        <v>1.3600000000000001E-3</v>
      </c>
      <c r="Q40" s="28">
        <f t="shared" si="0"/>
        <v>1.3600000000000001E-3</v>
      </c>
    </row>
    <row r="41" spans="1:17" ht="15">
      <c r="A41" s="31">
        <v>1</v>
      </c>
      <c r="B41" s="19" t="s">
        <v>51</v>
      </c>
      <c r="C41" s="25" t="s">
        <v>89</v>
      </c>
      <c r="D41" s="62" t="s">
        <v>52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/>
      <c r="P41" s="27">
        <v>1.3600000000000001E-3</v>
      </c>
      <c r="Q41" s="28">
        <f t="shared" si="0"/>
        <v>1.3600000000000001E-3</v>
      </c>
    </row>
    <row r="42" spans="1:17" ht="15">
      <c r="A42" s="31">
        <v>1</v>
      </c>
      <c r="B42" s="19" t="s">
        <v>51</v>
      </c>
      <c r="C42" s="25" t="s">
        <v>90</v>
      </c>
      <c r="D42" s="62" t="s">
        <v>52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/>
      <c r="P42" s="27">
        <v>1.3600000000000001E-3</v>
      </c>
      <c r="Q42" s="28">
        <f t="shared" si="0"/>
        <v>1.3600000000000001E-3</v>
      </c>
    </row>
    <row r="43" spans="1:17" ht="15">
      <c r="A43" s="31">
        <v>1</v>
      </c>
      <c r="B43" s="19" t="s">
        <v>51</v>
      </c>
      <c r="C43" s="25" t="s">
        <v>91</v>
      </c>
      <c r="D43" s="62" t="s">
        <v>52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/>
      <c r="P43" s="27">
        <v>1.3600000000000001E-3</v>
      </c>
      <c r="Q43" s="28">
        <f t="shared" si="0"/>
        <v>1.3600000000000001E-3</v>
      </c>
    </row>
    <row r="44" spans="1:17" ht="15">
      <c r="A44" s="31">
        <v>1</v>
      </c>
      <c r="B44" s="19" t="s">
        <v>51</v>
      </c>
      <c r="C44" s="25" t="s">
        <v>92</v>
      </c>
      <c r="D44" s="62" t="s">
        <v>52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/>
      <c r="P44" s="27">
        <v>1.3600000000000001E-3</v>
      </c>
      <c r="Q44" s="28">
        <f t="shared" si="0"/>
        <v>1.3600000000000001E-3</v>
      </c>
    </row>
    <row r="45" spans="1:17" ht="15">
      <c r="A45" s="31">
        <v>1</v>
      </c>
      <c r="B45" s="19" t="s">
        <v>51</v>
      </c>
      <c r="C45" s="25" t="s">
        <v>93</v>
      </c>
      <c r="D45" s="62" t="s">
        <v>52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/>
      <c r="P45" s="27">
        <v>1.3600000000000001E-3</v>
      </c>
      <c r="Q45" s="28">
        <f t="shared" si="0"/>
        <v>1.3600000000000001E-3</v>
      </c>
    </row>
    <row r="46" spans="1:17" ht="15">
      <c r="A46" s="31">
        <v>1</v>
      </c>
      <c r="B46" s="19" t="s">
        <v>51</v>
      </c>
      <c r="C46" s="25" t="s">
        <v>94</v>
      </c>
      <c r="D46" s="62" t="s">
        <v>52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/>
      <c r="P46" s="27">
        <v>1.3600000000000001E-3</v>
      </c>
      <c r="Q46" s="28">
        <f t="shared" si="0"/>
        <v>1.3600000000000001E-3</v>
      </c>
    </row>
    <row r="47" spans="1:17" ht="15">
      <c r="A47" s="31">
        <v>1</v>
      </c>
      <c r="B47" s="19" t="s">
        <v>51</v>
      </c>
      <c r="C47" s="25" t="s">
        <v>95</v>
      </c>
      <c r="D47" s="62" t="s">
        <v>52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19" t="s">
        <v>51</v>
      </c>
      <c r="C48" s="25" t="s">
        <v>96</v>
      </c>
      <c r="D48" s="62" t="s">
        <v>52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19" t="s">
        <v>51</v>
      </c>
      <c r="C49" s="25" t="s">
        <v>97</v>
      </c>
      <c r="D49" s="62" t="s">
        <v>52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19" t="s">
        <v>51</v>
      </c>
      <c r="C50" s="25" t="s">
        <v>98</v>
      </c>
      <c r="D50" s="62" t="s">
        <v>52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19" t="s">
        <v>51</v>
      </c>
      <c r="C51" s="25" t="s">
        <v>99</v>
      </c>
      <c r="D51" s="62" t="s">
        <v>52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19" t="s">
        <v>51</v>
      </c>
      <c r="C52" s="25" t="s">
        <v>100</v>
      </c>
      <c r="D52" s="62" t="s">
        <v>52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19" t="s">
        <v>51</v>
      </c>
      <c r="C53" s="25" t="s">
        <v>101</v>
      </c>
      <c r="D53" s="62" t="s">
        <v>52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19" t="s">
        <v>51</v>
      </c>
      <c r="C54" s="25" t="s">
        <v>102</v>
      </c>
      <c r="D54" s="62" t="s">
        <v>52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19" t="s">
        <v>51</v>
      </c>
      <c r="C55" s="25" t="s">
        <v>103</v>
      </c>
      <c r="D55" s="62" t="s">
        <v>52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19" t="s">
        <v>51</v>
      </c>
      <c r="C56" s="25" t="s">
        <v>104</v>
      </c>
      <c r="D56" s="62" t="s">
        <v>52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19" t="s">
        <v>51</v>
      </c>
      <c r="C57" s="25" t="s">
        <v>105</v>
      </c>
      <c r="D57" s="62" t="s">
        <v>52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v>0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 t="s">
        <v>22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 t="s">
        <v>64</v>
      </c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 t="s">
        <v>66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 t="s">
        <v>67</v>
      </c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EB76-9415-47F6-B1E6-181EFA27647B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12" t="s">
        <v>106</v>
      </c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>
        <v>0</v>
      </c>
    </row>
    <row r="22" spans="1:17" ht="15">
      <c r="A22" s="29">
        <v>1</v>
      </c>
      <c r="B22" s="19" t="s">
        <v>51</v>
      </c>
      <c r="C22" s="25" t="s">
        <v>107</v>
      </c>
      <c r="D22" s="62" t="s">
        <v>52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19" t="s">
        <v>51</v>
      </c>
      <c r="C23" s="25" t="s">
        <v>108</v>
      </c>
      <c r="D23" s="62" t="s">
        <v>52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51</v>
      </c>
      <c r="C24" s="25" t="s">
        <v>109</v>
      </c>
      <c r="D24" s="62" t="s">
        <v>52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19" t="s">
        <v>51</v>
      </c>
      <c r="C25" s="25" t="s">
        <v>110</v>
      </c>
      <c r="D25" s="62" t="s">
        <v>52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/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19" t="s">
        <v>51</v>
      </c>
      <c r="C26" s="25" t="s">
        <v>111</v>
      </c>
      <c r="D26" s="62" t="s">
        <v>52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 t="s">
        <v>51</v>
      </c>
      <c r="C27" s="25" t="s">
        <v>112</v>
      </c>
      <c r="D27" s="62" t="s">
        <v>52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19" t="s">
        <v>51</v>
      </c>
      <c r="C28" s="25" t="s">
        <v>113</v>
      </c>
      <c r="D28" s="62" t="s">
        <v>52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7">
        <v>1.3600000000000001E-3</v>
      </c>
      <c r="Q28" s="28">
        <f t="shared" si="0"/>
        <v>1.3600000000000001E-3</v>
      </c>
    </row>
    <row r="29" spans="1:17" ht="15">
      <c r="A29" s="31">
        <v>1</v>
      </c>
      <c r="B29" s="19" t="s">
        <v>51</v>
      </c>
      <c r="C29" s="25" t="s">
        <v>114</v>
      </c>
      <c r="D29" s="62" t="s">
        <v>52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19" t="s">
        <v>51</v>
      </c>
      <c r="C30" s="25" t="s">
        <v>115</v>
      </c>
      <c r="D30" s="62" t="s">
        <v>52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19" t="s">
        <v>51</v>
      </c>
      <c r="C31" s="25" t="s">
        <v>116</v>
      </c>
      <c r="D31" s="62" t="s">
        <v>52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7">
        <v>1.3600000000000001E-3</v>
      </c>
      <c r="Q31" s="28">
        <f t="shared" si="0"/>
        <v>1.3600000000000001E-3</v>
      </c>
    </row>
    <row r="32" spans="1:17" ht="15">
      <c r="A32" s="31">
        <v>1</v>
      </c>
      <c r="B32" s="19" t="s">
        <v>51</v>
      </c>
      <c r="C32" s="25" t="s">
        <v>117</v>
      </c>
      <c r="D32" s="62" t="s">
        <v>52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27">
        <v>1.3600000000000001E-3</v>
      </c>
      <c r="Q32" s="28">
        <f t="shared" si="0"/>
        <v>1.3600000000000001E-3</v>
      </c>
    </row>
    <row r="33" spans="1:17" ht="15">
      <c r="A33" s="31">
        <v>1</v>
      </c>
      <c r="B33" s="19" t="s">
        <v>51</v>
      </c>
      <c r="C33" s="25" t="s">
        <v>118</v>
      </c>
      <c r="D33" s="62" t="s">
        <v>52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19" t="s">
        <v>51</v>
      </c>
      <c r="C34" s="25" t="s">
        <v>119</v>
      </c>
      <c r="D34" s="62" t="s">
        <v>52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19" t="s">
        <v>51</v>
      </c>
      <c r="C35" s="25" t="s">
        <v>120</v>
      </c>
      <c r="D35" s="62" t="s">
        <v>52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/>
      <c r="P35" s="27">
        <v>1.3600000000000001E-3</v>
      </c>
      <c r="Q35" s="28">
        <f t="shared" si="0"/>
        <v>1.3600000000000001E-3</v>
      </c>
    </row>
    <row r="36" spans="1:17" ht="15">
      <c r="A36" s="31">
        <v>1</v>
      </c>
      <c r="B36" s="19" t="s">
        <v>51</v>
      </c>
      <c r="C36" s="25" t="s">
        <v>121</v>
      </c>
      <c r="D36" s="62" t="s">
        <v>52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27">
        <v>1.3600000000000001E-3</v>
      </c>
      <c r="Q36" s="28">
        <f t="shared" si="0"/>
        <v>1.3600000000000001E-3</v>
      </c>
    </row>
    <row r="37" spans="1:17" ht="15">
      <c r="A37" s="31">
        <v>1</v>
      </c>
      <c r="B37" s="19" t="s">
        <v>51</v>
      </c>
      <c r="C37" s="25" t="s">
        <v>122</v>
      </c>
      <c r="D37" s="62" t="s">
        <v>52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27">
        <v>1.3600000000000001E-3</v>
      </c>
      <c r="Q37" s="28">
        <f t="shared" si="0"/>
        <v>1.3600000000000001E-3</v>
      </c>
    </row>
    <row r="38" spans="1:17" ht="15">
      <c r="A38" s="31">
        <v>1</v>
      </c>
      <c r="B38" s="19" t="s">
        <v>51</v>
      </c>
      <c r="C38" s="25" t="s">
        <v>123</v>
      </c>
      <c r="D38" s="62" t="s">
        <v>52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/>
      <c r="P38" s="27">
        <v>1.3600000000000001E-3</v>
      </c>
      <c r="Q38" s="28">
        <f t="shared" si="0"/>
        <v>1.3600000000000001E-3</v>
      </c>
    </row>
    <row r="39" spans="1:17" ht="15">
      <c r="A39" s="31">
        <v>1</v>
      </c>
      <c r="B39" s="19" t="s">
        <v>51</v>
      </c>
      <c r="C39" s="25" t="s">
        <v>124</v>
      </c>
      <c r="D39" s="62" t="s">
        <v>52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/>
      <c r="P39" s="27">
        <v>1.3600000000000001E-3</v>
      </c>
      <c r="Q39" s="28">
        <f t="shared" si="0"/>
        <v>1.3600000000000001E-3</v>
      </c>
    </row>
    <row r="40" spans="1:17" ht="15">
      <c r="A40" s="31">
        <v>1</v>
      </c>
      <c r="B40" s="19" t="s">
        <v>51</v>
      </c>
      <c r="C40" s="25" t="s">
        <v>125</v>
      </c>
      <c r="D40" s="62" t="s">
        <v>52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/>
      <c r="P40" s="27">
        <v>1.3600000000000001E-3</v>
      </c>
      <c r="Q40" s="28">
        <f t="shared" si="0"/>
        <v>1.3600000000000001E-3</v>
      </c>
    </row>
    <row r="41" spans="1:17" ht="15">
      <c r="A41" s="31">
        <v>1</v>
      </c>
      <c r="B41" s="19" t="s">
        <v>51</v>
      </c>
      <c r="C41" s="25" t="s">
        <v>126</v>
      </c>
      <c r="D41" s="62" t="s">
        <v>52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/>
      <c r="P41" s="27">
        <v>1.3600000000000001E-3</v>
      </c>
      <c r="Q41" s="28">
        <f t="shared" si="0"/>
        <v>1.3600000000000001E-3</v>
      </c>
    </row>
    <row r="42" spans="1:17" ht="15">
      <c r="A42" s="31">
        <v>1</v>
      </c>
      <c r="B42" s="19" t="s">
        <v>51</v>
      </c>
      <c r="C42" s="25" t="s">
        <v>127</v>
      </c>
      <c r="D42" s="62" t="s">
        <v>52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/>
      <c r="P42" s="27">
        <v>1.3600000000000001E-3</v>
      </c>
      <c r="Q42" s="28">
        <f t="shared" si="0"/>
        <v>1.3600000000000001E-3</v>
      </c>
    </row>
    <row r="43" spans="1:17" ht="15">
      <c r="A43" s="31">
        <v>1</v>
      </c>
      <c r="B43" s="19" t="s">
        <v>51</v>
      </c>
      <c r="C43" s="25" t="s">
        <v>128</v>
      </c>
      <c r="D43" s="62" t="s">
        <v>52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/>
      <c r="P43" s="27">
        <v>1.3600000000000001E-3</v>
      </c>
      <c r="Q43" s="28">
        <f t="shared" si="0"/>
        <v>1.3600000000000001E-3</v>
      </c>
    </row>
    <row r="44" spans="1:17" ht="15">
      <c r="A44" s="31">
        <v>1</v>
      </c>
      <c r="B44" s="19" t="s">
        <v>51</v>
      </c>
      <c r="C44" s="25" t="s">
        <v>129</v>
      </c>
      <c r="D44" s="62" t="s">
        <v>52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/>
      <c r="P44" s="27">
        <v>1.3600000000000001E-3</v>
      </c>
      <c r="Q44" s="28">
        <f t="shared" si="0"/>
        <v>1.3600000000000001E-3</v>
      </c>
    </row>
    <row r="45" spans="1:17" ht="15">
      <c r="A45" s="31">
        <v>1</v>
      </c>
      <c r="B45" s="19" t="s">
        <v>51</v>
      </c>
      <c r="C45" s="25" t="s">
        <v>130</v>
      </c>
      <c r="D45" s="62" t="s">
        <v>52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/>
      <c r="P45" s="27">
        <v>1.3600000000000001E-3</v>
      </c>
      <c r="Q45" s="28">
        <f t="shared" si="0"/>
        <v>1.3600000000000001E-3</v>
      </c>
    </row>
    <row r="46" spans="1:17" ht="15">
      <c r="A46" s="31">
        <v>1</v>
      </c>
      <c r="B46" s="19" t="s">
        <v>51</v>
      </c>
      <c r="C46" s="25" t="s">
        <v>131</v>
      </c>
      <c r="D46" s="62" t="s">
        <v>52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/>
      <c r="P46" s="27">
        <v>1.3600000000000001E-3</v>
      </c>
      <c r="Q46" s="28">
        <f t="shared" si="0"/>
        <v>1.3600000000000001E-3</v>
      </c>
    </row>
    <row r="47" spans="1:17" ht="15">
      <c r="A47" s="31">
        <v>1</v>
      </c>
      <c r="B47" s="19" t="s">
        <v>51</v>
      </c>
      <c r="C47" s="25" t="s">
        <v>132</v>
      </c>
      <c r="D47" s="62" t="s">
        <v>52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19" t="s">
        <v>51</v>
      </c>
      <c r="C48" s="25" t="s">
        <v>133</v>
      </c>
      <c r="D48" s="62" t="s">
        <v>52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19" t="s">
        <v>51</v>
      </c>
      <c r="C49" s="25" t="s">
        <v>134</v>
      </c>
      <c r="D49" s="62" t="s">
        <v>52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19" t="s">
        <v>51</v>
      </c>
      <c r="C50" s="25" t="s">
        <v>135</v>
      </c>
      <c r="D50" s="62" t="s">
        <v>52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19" t="s">
        <v>51</v>
      </c>
      <c r="C51" s="25" t="s">
        <v>136</v>
      </c>
      <c r="D51" s="62" t="s">
        <v>52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19" t="s">
        <v>51</v>
      </c>
      <c r="C52" s="25" t="s">
        <v>137</v>
      </c>
      <c r="D52" s="62" t="s">
        <v>52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19" t="s">
        <v>51</v>
      </c>
      <c r="C53" s="25" t="s">
        <v>138</v>
      </c>
      <c r="D53" s="62" t="s">
        <v>52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19" t="s">
        <v>51</v>
      </c>
      <c r="C54" s="25" t="s">
        <v>139</v>
      </c>
      <c r="D54" s="62" t="s">
        <v>52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19" t="s">
        <v>51</v>
      </c>
      <c r="C55" s="25" t="s">
        <v>140</v>
      </c>
      <c r="D55" s="62" t="s">
        <v>52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19" t="s">
        <v>51</v>
      </c>
      <c r="C56" s="25" t="s">
        <v>141</v>
      </c>
      <c r="D56" s="62" t="s">
        <v>52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19" t="s">
        <v>51</v>
      </c>
      <c r="C57" s="25" t="s">
        <v>142</v>
      </c>
      <c r="D57" s="62" t="s">
        <v>52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v>0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 t="s">
        <v>22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 t="s">
        <v>64</v>
      </c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 t="s">
        <v>66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 t="s">
        <v>67</v>
      </c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1618C-1E56-4A32-BC62-B01DB9CDE6CC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12" t="s">
        <v>143</v>
      </c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>
        <v>0</v>
      </c>
    </row>
    <row r="22" spans="1:17" ht="15">
      <c r="A22" s="29">
        <v>1</v>
      </c>
      <c r="B22" s="19" t="s">
        <v>51</v>
      </c>
      <c r="C22" s="25" t="s">
        <v>144</v>
      </c>
      <c r="D22" s="62" t="s">
        <v>52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19" t="s">
        <v>51</v>
      </c>
      <c r="C23" s="25" t="s">
        <v>145</v>
      </c>
      <c r="D23" s="62" t="s">
        <v>52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51</v>
      </c>
      <c r="C24" s="25" t="s">
        <v>146</v>
      </c>
      <c r="D24" s="62" t="s">
        <v>52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19" t="s">
        <v>51</v>
      </c>
      <c r="C25" s="25" t="s">
        <v>147</v>
      </c>
      <c r="D25" s="62" t="s">
        <v>52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/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19" t="s">
        <v>51</v>
      </c>
      <c r="C26" s="25" t="s">
        <v>148</v>
      </c>
      <c r="D26" s="62" t="s">
        <v>52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 t="s">
        <v>51</v>
      </c>
      <c r="C27" s="25" t="s">
        <v>149</v>
      </c>
      <c r="D27" s="62" t="s">
        <v>52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19" t="s">
        <v>51</v>
      </c>
      <c r="C28" s="25" t="s">
        <v>150</v>
      </c>
      <c r="D28" s="62" t="s">
        <v>52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7">
        <v>1.3600000000000001E-3</v>
      </c>
      <c r="Q28" s="28">
        <f t="shared" si="0"/>
        <v>1.3600000000000001E-3</v>
      </c>
    </row>
    <row r="29" spans="1:17" ht="15">
      <c r="A29" s="31">
        <v>1</v>
      </c>
      <c r="B29" s="19" t="s">
        <v>51</v>
      </c>
      <c r="C29" s="25" t="s">
        <v>151</v>
      </c>
      <c r="D29" s="62" t="s">
        <v>52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19" t="s">
        <v>51</v>
      </c>
      <c r="C30" s="25" t="s">
        <v>152</v>
      </c>
      <c r="D30" s="62" t="s">
        <v>52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19" t="s">
        <v>51</v>
      </c>
      <c r="C31" s="25" t="s">
        <v>153</v>
      </c>
      <c r="D31" s="62" t="s">
        <v>52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7">
        <v>1.3600000000000001E-3</v>
      </c>
      <c r="Q31" s="28">
        <f t="shared" si="0"/>
        <v>1.3600000000000001E-3</v>
      </c>
    </row>
    <row r="32" spans="1:17" ht="15">
      <c r="A32" s="31">
        <v>1</v>
      </c>
      <c r="B32" s="19" t="s">
        <v>51</v>
      </c>
      <c r="C32" s="25" t="s">
        <v>154</v>
      </c>
      <c r="D32" s="62" t="s">
        <v>52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27">
        <v>1.3600000000000001E-3</v>
      </c>
      <c r="Q32" s="28">
        <f t="shared" si="0"/>
        <v>1.3600000000000001E-3</v>
      </c>
    </row>
    <row r="33" spans="1:17" ht="15">
      <c r="A33" s="31">
        <v>1</v>
      </c>
      <c r="B33" s="19" t="s">
        <v>51</v>
      </c>
      <c r="C33" s="25" t="s">
        <v>155</v>
      </c>
      <c r="D33" s="62" t="s">
        <v>52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19" t="s">
        <v>51</v>
      </c>
      <c r="C34" s="25" t="s">
        <v>156</v>
      </c>
      <c r="D34" s="62" t="s">
        <v>52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19" t="s">
        <v>51</v>
      </c>
      <c r="C35" s="25" t="s">
        <v>157</v>
      </c>
      <c r="D35" s="62" t="s">
        <v>52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/>
      <c r="P35" s="27">
        <v>1.3600000000000001E-3</v>
      </c>
      <c r="Q35" s="28">
        <f t="shared" si="0"/>
        <v>1.3600000000000001E-3</v>
      </c>
    </row>
    <row r="36" spans="1:17" ht="15">
      <c r="A36" s="31">
        <v>1</v>
      </c>
      <c r="B36" s="19" t="s">
        <v>51</v>
      </c>
      <c r="C36" s="25" t="s">
        <v>158</v>
      </c>
      <c r="D36" s="62" t="s">
        <v>52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27">
        <v>1.3600000000000001E-3</v>
      </c>
      <c r="Q36" s="28">
        <f t="shared" si="0"/>
        <v>1.3600000000000001E-3</v>
      </c>
    </row>
    <row r="37" spans="1:17" ht="15">
      <c r="A37" s="31">
        <v>1</v>
      </c>
      <c r="B37" s="19" t="s">
        <v>51</v>
      </c>
      <c r="C37" s="25" t="s">
        <v>159</v>
      </c>
      <c r="D37" s="62" t="s">
        <v>52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27">
        <v>1.3600000000000001E-3</v>
      </c>
      <c r="Q37" s="28">
        <f t="shared" si="0"/>
        <v>1.3600000000000001E-3</v>
      </c>
    </row>
    <row r="38" spans="1:17" ht="15">
      <c r="A38" s="31">
        <v>1</v>
      </c>
      <c r="B38" s="19" t="s">
        <v>51</v>
      </c>
      <c r="C38" s="25" t="s">
        <v>160</v>
      </c>
      <c r="D38" s="62" t="s">
        <v>52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/>
      <c r="P38" s="27">
        <v>1.3600000000000001E-3</v>
      </c>
      <c r="Q38" s="28">
        <f t="shared" si="0"/>
        <v>1.3600000000000001E-3</v>
      </c>
    </row>
    <row r="39" spans="1:17" ht="15">
      <c r="A39" s="31">
        <v>1</v>
      </c>
      <c r="B39" s="19" t="s">
        <v>51</v>
      </c>
      <c r="C39" s="25" t="s">
        <v>161</v>
      </c>
      <c r="D39" s="62" t="s">
        <v>52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/>
      <c r="P39" s="27">
        <v>1.3600000000000001E-3</v>
      </c>
      <c r="Q39" s="28">
        <f t="shared" si="0"/>
        <v>1.3600000000000001E-3</v>
      </c>
    </row>
    <row r="40" spans="1:17" ht="15">
      <c r="A40" s="31">
        <v>1</v>
      </c>
      <c r="B40" s="19" t="s">
        <v>51</v>
      </c>
      <c r="C40" s="25" t="s">
        <v>162</v>
      </c>
      <c r="D40" s="62" t="s">
        <v>52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/>
      <c r="P40" s="27">
        <v>1.3600000000000001E-3</v>
      </c>
      <c r="Q40" s="28">
        <f t="shared" si="0"/>
        <v>1.3600000000000001E-3</v>
      </c>
    </row>
    <row r="41" spans="1:17" ht="15">
      <c r="A41" s="31">
        <v>1</v>
      </c>
      <c r="B41" s="19" t="s">
        <v>51</v>
      </c>
      <c r="C41" s="25" t="s">
        <v>163</v>
      </c>
      <c r="D41" s="62" t="s">
        <v>52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/>
      <c r="P41" s="27">
        <v>1.3600000000000001E-3</v>
      </c>
      <c r="Q41" s="28">
        <f t="shared" si="0"/>
        <v>1.3600000000000001E-3</v>
      </c>
    </row>
    <row r="42" spans="1:17" ht="15">
      <c r="A42" s="31">
        <v>1</v>
      </c>
      <c r="B42" s="19" t="s">
        <v>51</v>
      </c>
      <c r="C42" s="25" t="s">
        <v>164</v>
      </c>
      <c r="D42" s="62" t="s">
        <v>52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/>
      <c r="P42" s="27">
        <v>1.3600000000000001E-3</v>
      </c>
      <c r="Q42" s="28">
        <f t="shared" si="0"/>
        <v>1.3600000000000001E-3</v>
      </c>
    </row>
    <row r="43" spans="1:17" ht="15">
      <c r="A43" s="31">
        <v>1</v>
      </c>
      <c r="B43" s="19" t="s">
        <v>51</v>
      </c>
      <c r="C43" s="25" t="s">
        <v>165</v>
      </c>
      <c r="D43" s="62" t="s">
        <v>52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/>
      <c r="P43" s="27">
        <v>1.3600000000000001E-3</v>
      </c>
      <c r="Q43" s="28">
        <f t="shared" si="0"/>
        <v>1.3600000000000001E-3</v>
      </c>
    </row>
    <row r="44" spans="1:17" ht="15">
      <c r="A44" s="31">
        <v>1</v>
      </c>
      <c r="B44" s="19" t="s">
        <v>51</v>
      </c>
      <c r="C44" s="25" t="s">
        <v>166</v>
      </c>
      <c r="D44" s="62" t="s">
        <v>52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/>
      <c r="P44" s="27">
        <v>1.3600000000000001E-3</v>
      </c>
      <c r="Q44" s="28">
        <f t="shared" si="0"/>
        <v>1.3600000000000001E-3</v>
      </c>
    </row>
    <row r="45" spans="1:17" ht="15">
      <c r="A45" s="31">
        <v>1</v>
      </c>
      <c r="B45" s="19" t="s">
        <v>51</v>
      </c>
      <c r="C45" s="25" t="s">
        <v>167</v>
      </c>
      <c r="D45" s="62" t="s">
        <v>52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/>
      <c r="P45" s="27">
        <v>1.3600000000000001E-3</v>
      </c>
      <c r="Q45" s="28">
        <f t="shared" si="0"/>
        <v>1.3600000000000001E-3</v>
      </c>
    </row>
    <row r="46" spans="1:17" ht="15">
      <c r="A46" s="31">
        <v>1</v>
      </c>
      <c r="B46" s="19" t="s">
        <v>51</v>
      </c>
      <c r="C46" s="25" t="s">
        <v>168</v>
      </c>
      <c r="D46" s="62" t="s">
        <v>52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/>
      <c r="P46" s="27">
        <v>1.3600000000000001E-3</v>
      </c>
      <c r="Q46" s="28">
        <f t="shared" si="0"/>
        <v>1.3600000000000001E-3</v>
      </c>
    </row>
    <row r="47" spans="1:17" ht="15">
      <c r="A47" s="31">
        <v>1</v>
      </c>
      <c r="B47" s="19" t="s">
        <v>51</v>
      </c>
      <c r="C47" s="25" t="s">
        <v>169</v>
      </c>
      <c r="D47" s="62" t="s">
        <v>52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19" t="s">
        <v>51</v>
      </c>
      <c r="C48" s="25" t="s">
        <v>170</v>
      </c>
      <c r="D48" s="62" t="s">
        <v>52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19" t="s">
        <v>51</v>
      </c>
      <c r="C49" s="25" t="s">
        <v>171</v>
      </c>
      <c r="D49" s="62" t="s">
        <v>52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19" t="s">
        <v>51</v>
      </c>
      <c r="C50" s="25" t="s">
        <v>172</v>
      </c>
      <c r="D50" s="62" t="s">
        <v>52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19" t="s">
        <v>51</v>
      </c>
      <c r="C51" s="25" t="s">
        <v>173</v>
      </c>
      <c r="D51" s="62" t="s">
        <v>52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19" t="s">
        <v>51</v>
      </c>
      <c r="C52" s="25" t="s">
        <v>174</v>
      </c>
      <c r="D52" s="62" t="s">
        <v>52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19" t="s">
        <v>51</v>
      </c>
      <c r="C53" s="25" t="s">
        <v>175</v>
      </c>
      <c r="D53" s="62" t="s">
        <v>52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19" t="s">
        <v>51</v>
      </c>
      <c r="C54" s="25" t="s">
        <v>176</v>
      </c>
      <c r="D54" s="62" t="s">
        <v>52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19" t="s">
        <v>51</v>
      </c>
      <c r="C55" s="25" t="s">
        <v>177</v>
      </c>
      <c r="D55" s="62" t="s">
        <v>52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19" t="s">
        <v>51</v>
      </c>
      <c r="C56" s="25" t="s">
        <v>178</v>
      </c>
      <c r="D56" s="62" t="s">
        <v>52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19" t="s">
        <v>51</v>
      </c>
      <c r="C57" s="25" t="s">
        <v>179</v>
      </c>
      <c r="D57" s="62" t="s">
        <v>52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v>0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 t="s">
        <v>22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 t="s">
        <v>64</v>
      </c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 t="s">
        <v>66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 t="s">
        <v>67</v>
      </c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E983-1BAD-402F-B10D-E55FA752E818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12" t="s">
        <v>180</v>
      </c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>
        <v>0</v>
      </c>
    </row>
    <row r="22" spans="1:17" ht="15">
      <c r="A22" s="29">
        <v>1</v>
      </c>
      <c r="B22" s="19" t="s">
        <v>51</v>
      </c>
      <c r="C22" s="25" t="s">
        <v>181</v>
      </c>
      <c r="D22" s="62" t="s">
        <v>52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19" t="s">
        <v>51</v>
      </c>
      <c r="C23" s="25" t="s">
        <v>182</v>
      </c>
      <c r="D23" s="62" t="s">
        <v>52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51</v>
      </c>
      <c r="C24" s="25" t="s">
        <v>183</v>
      </c>
      <c r="D24" s="62" t="s">
        <v>52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19" t="s">
        <v>51</v>
      </c>
      <c r="C25" s="25" t="s">
        <v>184</v>
      </c>
      <c r="D25" s="62" t="s">
        <v>52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/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19" t="s">
        <v>51</v>
      </c>
      <c r="C26" s="25" t="s">
        <v>185</v>
      </c>
      <c r="D26" s="62" t="s">
        <v>52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 t="s">
        <v>51</v>
      </c>
      <c r="C27" s="25" t="s">
        <v>186</v>
      </c>
      <c r="D27" s="62" t="s">
        <v>52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19" t="s">
        <v>51</v>
      </c>
      <c r="C28" s="25" t="s">
        <v>187</v>
      </c>
      <c r="D28" s="62" t="s">
        <v>52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7">
        <v>1.3600000000000001E-3</v>
      </c>
      <c r="Q28" s="28">
        <f t="shared" si="0"/>
        <v>1.3600000000000001E-3</v>
      </c>
    </row>
    <row r="29" spans="1:17" ht="15">
      <c r="A29" s="31">
        <v>1</v>
      </c>
      <c r="B29" s="19" t="s">
        <v>51</v>
      </c>
      <c r="C29" s="25" t="s">
        <v>188</v>
      </c>
      <c r="D29" s="62" t="s">
        <v>52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19" t="s">
        <v>51</v>
      </c>
      <c r="C30" s="25" t="s">
        <v>189</v>
      </c>
      <c r="D30" s="62" t="s">
        <v>52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19" t="s">
        <v>51</v>
      </c>
      <c r="C31" s="25" t="s">
        <v>190</v>
      </c>
      <c r="D31" s="62" t="s">
        <v>52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7">
        <v>1.3600000000000001E-3</v>
      </c>
      <c r="Q31" s="28">
        <f t="shared" si="0"/>
        <v>1.3600000000000001E-3</v>
      </c>
    </row>
    <row r="32" spans="1:17" ht="15">
      <c r="A32" s="31">
        <v>1</v>
      </c>
      <c r="B32" s="19" t="s">
        <v>51</v>
      </c>
      <c r="C32" s="25" t="s">
        <v>191</v>
      </c>
      <c r="D32" s="62" t="s">
        <v>52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27">
        <v>1.3600000000000001E-3</v>
      </c>
      <c r="Q32" s="28">
        <f t="shared" si="0"/>
        <v>1.3600000000000001E-3</v>
      </c>
    </row>
    <row r="33" spans="1:17" ht="15">
      <c r="A33" s="31">
        <v>1</v>
      </c>
      <c r="B33" s="19" t="s">
        <v>51</v>
      </c>
      <c r="C33" s="25" t="s">
        <v>192</v>
      </c>
      <c r="D33" s="62" t="s">
        <v>52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19" t="s">
        <v>51</v>
      </c>
      <c r="C34" s="25" t="s">
        <v>193</v>
      </c>
      <c r="D34" s="62" t="s">
        <v>52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19" t="s">
        <v>51</v>
      </c>
      <c r="C35" s="25" t="s">
        <v>194</v>
      </c>
      <c r="D35" s="62" t="s">
        <v>52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/>
      <c r="P35" s="27">
        <v>1.3600000000000001E-3</v>
      </c>
      <c r="Q35" s="28">
        <f t="shared" si="0"/>
        <v>1.3600000000000001E-3</v>
      </c>
    </row>
    <row r="36" spans="1:17" ht="15">
      <c r="A36" s="31">
        <v>1</v>
      </c>
      <c r="B36" s="19" t="s">
        <v>51</v>
      </c>
      <c r="C36" s="25" t="s">
        <v>195</v>
      </c>
      <c r="D36" s="62" t="s">
        <v>52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27">
        <v>1.3600000000000001E-3</v>
      </c>
      <c r="Q36" s="28">
        <f t="shared" si="0"/>
        <v>1.3600000000000001E-3</v>
      </c>
    </row>
    <row r="37" spans="1:17" ht="15">
      <c r="A37" s="31">
        <v>1</v>
      </c>
      <c r="B37" s="19" t="s">
        <v>51</v>
      </c>
      <c r="C37" s="25" t="s">
        <v>196</v>
      </c>
      <c r="D37" s="62" t="s">
        <v>52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27">
        <v>1.3600000000000001E-3</v>
      </c>
      <c r="Q37" s="28">
        <f t="shared" si="0"/>
        <v>1.3600000000000001E-3</v>
      </c>
    </row>
    <row r="38" spans="1:17" ht="15">
      <c r="A38" s="31">
        <v>1</v>
      </c>
      <c r="B38" s="19" t="s">
        <v>51</v>
      </c>
      <c r="C38" s="25" t="s">
        <v>197</v>
      </c>
      <c r="D38" s="62" t="s">
        <v>52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/>
      <c r="P38" s="27">
        <v>1.3600000000000001E-3</v>
      </c>
      <c r="Q38" s="28">
        <f t="shared" si="0"/>
        <v>1.3600000000000001E-3</v>
      </c>
    </row>
    <row r="39" spans="1:17" ht="15">
      <c r="A39" s="31">
        <v>1</v>
      </c>
      <c r="B39" s="19" t="s">
        <v>51</v>
      </c>
      <c r="C39" s="25" t="s">
        <v>198</v>
      </c>
      <c r="D39" s="62" t="s">
        <v>52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/>
      <c r="P39" s="27">
        <v>1.3600000000000001E-3</v>
      </c>
      <c r="Q39" s="28">
        <f t="shared" si="0"/>
        <v>1.3600000000000001E-3</v>
      </c>
    </row>
    <row r="40" spans="1:17" ht="15">
      <c r="A40" s="31">
        <v>1</v>
      </c>
      <c r="B40" s="19" t="s">
        <v>51</v>
      </c>
      <c r="C40" s="25" t="s">
        <v>199</v>
      </c>
      <c r="D40" s="62" t="s">
        <v>52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/>
      <c r="P40" s="27">
        <v>1.3600000000000001E-3</v>
      </c>
      <c r="Q40" s="28">
        <f t="shared" si="0"/>
        <v>1.3600000000000001E-3</v>
      </c>
    </row>
    <row r="41" spans="1:17" ht="15">
      <c r="A41" s="31">
        <v>1</v>
      </c>
      <c r="B41" s="19" t="s">
        <v>51</v>
      </c>
      <c r="C41" s="25" t="s">
        <v>200</v>
      </c>
      <c r="D41" s="62" t="s">
        <v>52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/>
      <c r="P41" s="27">
        <v>1.3600000000000001E-3</v>
      </c>
      <c r="Q41" s="28">
        <f t="shared" si="0"/>
        <v>1.3600000000000001E-3</v>
      </c>
    </row>
    <row r="42" spans="1:17" ht="15">
      <c r="A42" s="31">
        <v>1</v>
      </c>
      <c r="B42" s="19" t="s">
        <v>51</v>
      </c>
      <c r="C42" s="25" t="s">
        <v>201</v>
      </c>
      <c r="D42" s="62" t="s">
        <v>52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/>
      <c r="P42" s="27">
        <v>1.3600000000000001E-3</v>
      </c>
      <c r="Q42" s="28">
        <f t="shared" si="0"/>
        <v>1.3600000000000001E-3</v>
      </c>
    </row>
    <row r="43" spans="1:17" ht="15">
      <c r="A43" s="31">
        <v>1</v>
      </c>
      <c r="B43" s="19" t="s">
        <v>51</v>
      </c>
      <c r="C43" s="25" t="s">
        <v>202</v>
      </c>
      <c r="D43" s="62" t="s">
        <v>52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/>
      <c r="P43" s="27">
        <v>1.3600000000000001E-3</v>
      </c>
      <c r="Q43" s="28">
        <f t="shared" si="0"/>
        <v>1.3600000000000001E-3</v>
      </c>
    </row>
    <row r="44" spans="1:17" ht="15">
      <c r="A44" s="31">
        <v>1</v>
      </c>
      <c r="B44" s="19" t="s">
        <v>51</v>
      </c>
      <c r="C44" s="25" t="s">
        <v>203</v>
      </c>
      <c r="D44" s="62" t="s">
        <v>52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/>
      <c r="P44" s="27">
        <v>1.3600000000000001E-3</v>
      </c>
      <c r="Q44" s="28">
        <f t="shared" si="0"/>
        <v>1.3600000000000001E-3</v>
      </c>
    </row>
    <row r="45" spans="1:17" ht="15">
      <c r="A45" s="31">
        <v>1</v>
      </c>
      <c r="B45" s="19" t="s">
        <v>51</v>
      </c>
      <c r="C45" s="25" t="s">
        <v>204</v>
      </c>
      <c r="D45" s="62" t="s">
        <v>52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/>
      <c r="P45" s="27">
        <v>1.3600000000000001E-3</v>
      </c>
      <c r="Q45" s="28">
        <f t="shared" si="0"/>
        <v>1.3600000000000001E-3</v>
      </c>
    </row>
    <row r="46" spans="1:17" ht="15">
      <c r="A46" s="31">
        <v>1</v>
      </c>
      <c r="B46" s="19" t="s">
        <v>51</v>
      </c>
      <c r="C46" s="25" t="s">
        <v>205</v>
      </c>
      <c r="D46" s="62" t="s">
        <v>52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/>
      <c r="P46" s="27">
        <v>1.3600000000000001E-3</v>
      </c>
      <c r="Q46" s="28">
        <f t="shared" si="0"/>
        <v>1.3600000000000001E-3</v>
      </c>
    </row>
    <row r="47" spans="1:17" ht="15">
      <c r="A47" s="31">
        <v>1</v>
      </c>
      <c r="B47" s="19" t="s">
        <v>51</v>
      </c>
      <c r="C47" s="25" t="s">
        <v>206</v>
      </c>
      <c r="D47" s="62" t="s">
        <v>52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19" t="s">
        <v>51</v>
      </c>
      <c r="C48" s="25" t="s">
        <v>207</v>
      </c>
      <c r="D48" s="62" t="s">
        <v>52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19" t="s">
        <v>51</v>
      </c>
      <c r="C49" s="25" t="s">
        <v>208</v>
      </c>
      <c r="D49" s="62" t="s">
        <v>52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19" t="s">
        <v>51</v>
      </c>
      <c r="C50" s="25" t="s">
        <v>209</v>
      </c>
      <c r="D50" s="62" t="s">
        <v>52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19" t="s">
        <v>51</v>
      </c>
      <c r="C51" s="25" t="s">
        <v>210</v>
      </c>
      <c r="D51" s="62" t="s">
        <v>52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19" t="s">
        <v>51</v>
      </c>
      <c r="C52" s="25" t="s">
        <v>211</v>
      </c>
      <c r="D52" s="62" t="s">
        <v>52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19" t="s">
        <v>51</v>
      </c>
      <c r="C53" s="25" t="s">
        <v>212</v>
      </c>
      <c r="D53" s="62" t="s">
        <v>52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19" t="s">
        <v>51</v>
      </c>
      <c r="C54" s="25" t="s">
        <v>213</v>
      </c>
      <c r="D54" s="62" t="s">
        <v>52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19" t="s">
        <v>51</v>
      </c>
      <c r="C55" s="25" t="s">
        <v>214</v>
      </c>
      <c r="D55" s="62" t="s">
        <v>52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19" t="s">
        <v>51</v>
      </c>
      <c r="C56" s="25" t="s">
        <v>215</v>
      </c>
      <c r="D56" s="62" t="s">
        <v>52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19" t="s">
        <v>51</v>
      </c>
      <c r="C57" s="25" t="s">
        <v>216</v>
      </c>
      <c r="D57" s="62" t="s">
        <v>52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v>0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 t="s">
        <v>22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 t="s">
        <v>64</v>
      </c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 t="s">
        <v>66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 t="s">
        <v>67</v>
      </c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F841-FE9F-4C1B-86EC-5C69D434FFAD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12" t="s">
        <v>217</v>
      </c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>
        <v>0</v>
      </c>
    </row>
    <row r="22" spans="1:17" ht="15">
      <c r="A22" s="29">
        <v>1</v>
      </c>
      <c r="B22" s="19" t="s">
        <v>51</v>
      </c>
      <c r="C22" s="25" t="s">
        <v>218</v>
      </c>
      <c r="D22" s="62" t="s">
        <v>52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19" t="s">
        <v>51</v>
      </c>
      <c r="C23" s="25" t="s">
        <v>219</v>
      </c>
      <c r="D23" s="62" t="s">
        <v>52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51</v>
      </c>
      <c r="C24" s="25" t="s">
        <v>220</v>
      </c>
      <c r="D24" s="62" t="s">
        <v>52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19" t="s">
        <v>51</v>
      </c>
      <c r="C25" s="25" t="s">
        <v>221</v>
      </c>
      <c r="D25" s="62" t="s">
        <v>52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/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19" t="s">
        <v>51</v>
      </c>
      <c r="C26" s="25" t="s">
        <v>222</v>
      </c>
      <c r="D26" s="62" t="s">
        <v>52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 t="s">
        <v>51</v>
      </c>
      <c r="C27" s="25" t="s">
        <v>223</v>
      </c>
      <c r="D27" s="62" t="s">
        <v>52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19" t="s">
        <v>51</v>
      </c>
      <c r="C28" s="25" t="s">
        <v>224</v>
      </c>
      <c r="D28" s="62" t="s">
        <v>52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7">
        <v>1.3600000000000001E-3</v>
      </c>
      <c r="Q28" s="28">
        <f t="shared" si="0"/>
        <v>1.3600000000000001E-3</v>
      </c>
    </row>
    <row r="29" spans="1:17" ht="15">
      <c r="A29" s="31">
        <v>1</v>
      </c>
      <c r="B29" s="19" t="s">
        <v>51</v>
      </c>
      <c r="C29" s="25" t="s">
        <v>225</v>
      </c>
      <c r="D29" s="62" t="s">
        <v>52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19" t="s">
        <v>51</v>
      </c>
      <c r="C30" s="25" t="s">
        <v>226</v>
      </c>
      <c r="D30" s="62" t="s">
        <v>52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19" t="s">
        <v>51</v>
      </c>
      <c r="C31" s="25" t="s">
        <v>227</v>
      </c>
      <c r="D31" s="62" t="s">
        <v>52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7">
        <v>1.3600000000000001E-3</v>
      </c>
      <c r="Q31" s="28">
        <f t="shared" si="0"/>
        <v>1.3600000000000001E-3</v>
      </c>
    </row>
    <row r="32" spans="1:17" ht="15">
      <c r="A32" s="31">
        <v>1</v>
      </c>
      <c r="B32" s="19" t="s">
        <v>51</v>
      </c>
      <c r="C32" s="25" t="s">
        <v>228</v>
      </c>
      <c r="D32" s="62" t="s">
        <v>52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27">
        <v>1.3600000000000001E-3</v>
      </c>
      <c r="Q32" s="28">
        <f t="shared" si="0"/>
        <v>1.3600000000000001E-3</v>
      </c>
    </row>
    <row r="33" spans="1:17" ht="15">
      <c r="A33" s="31">
        <v>1</v>
      </c>
      <c r="B33" s="19" t="s">
        <v>51</v>
      </c>
      <c r="C33" s="25" t="s">
        <v>229</v>
      </c>
      <c r="D33" s="62" t="s">
        <v>52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19" t="s">
        <v>51</v>
      </c>
      <c r="C34" s="25" t="s">
        <v>230</v>
      </c>
      <c r="D34" s="62" t="s">
        <v>52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19" t="s">
        <v>51</v>
      </c>
      <c r="C35" s="25" t="s">
        <v>231</v>
      </c>
      <c r="D35" s="62" t="s">
        <v>52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/>
      <c r="P35" s="27">
        <v>1.3600000000000001E-3</v>
      </c>
      <c r="Q35" s="28">
        <f t="shared" si="0"/>
        <v>1.3600000000000001E-3</v>
      </c>
    </row>
    <row r="36" spans="1:17" ht="15">
      <c r="A36" s="31">
        <v>1</v>
      </c>
      <c r="B36" s="19" t="s">
        <v>51</v>
      </c>
      <c r="C36" s="25" t="s">
        <v>232</v>
      </c>
      <c r="D36" s="62" t="s">
        <v>52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27">
        <v>1.3600000000000001E-3</v>
      </c>
      <c r="Q36" s="28">
        <f t="shared" si="0"/>
        <v>1.3600000000000001E-3</v>
      </c>
    </row>
    <row r="37" spans="1:17" ht="15">
      <c r="A37" s="31">
        <v>1</v>
      </c>
      <c r="B37" s="19" t="s">
        <v>51</v>
      </c>
      <c r="C37" s="25" t="s">
        <v>233</v>
      </c>
      <c r="D37" s="62" t="s">
        <v>52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27">
        <v>1.3600000000000001E-3</v>
      </c>
      <c r="Q37" s="28">
        <f t="shared" si="0"/>
        <v>1.3600000000000001E-3</v>
      </c>
    </row>
    <row r="38" spans="1:17" ht="15">
      <c r="A38" s="31">
        <v>1</v>
      </c>
      <c r="B38" s="19" t="s">
        <v>51</v>
      </c>
      <c r="C38" s="25" t="s">
        <v>234</v>
      </c>
      <c r="D38" s="62" t="s">
        <v>52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/>
      <c r="P38" s="27">
        <v>1.3600000000000001E-3</v>
      </c>
      <c r="Q38" s="28">
        <f t="shared" si="0"/>
        <v>1.3600000000000001E-3</v>
      </c>
    </row>
    <row r="39" spans="1:17" ht="15">
      <c r="A39" s="31">
        <v>1</v>
      </c>
      <c r="B39" s="19" t="s">
        <v>51</v>
      </c>
      <c r="C39" s="25" t="s">
        <v>235</v>
      </c>
      <c r="D39" s="62" t="s">
        <v>52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/>
      <c r="P39" s="27">
        <v>1.3600000000000001E-3</v>
      </c>
      <c r="Q39" s="28">
        <f t="shared" si="0"/>
        <v>1.3600000000000001E-3</v>
      </c>
    </row>
    <row r="40" spans="1:17" ht="15">
      <c r="A40" s="31">
        <v>1</v>
      </c>
      <c r="B40" s="19" t="s">
        <v>51</v>
      </c>
      <c r="C40" s="25" t="s">
        <v>236</v>
      </c>
      <c r="D40" s="62" t="s">
        <v>52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/>
      <c r="P40" s="27">
        <v>1.3600000000000001E-3</v>
      </c>
      <c r="Q40" s="28">
        <f t="shared" si="0"/>
        <v>1.3600000000000001E-3</v>
      </c>
    </row>
    <row r="41" spans="1:17" ht="15">
      <c r="A41" s="31">
        <v>1</v>
      </c>
      <c r="B41" s="19" t="s">
        <v>51</v>
      </c>
      <c r="C41" s="25" t="s">
        <v>237</v>
      </c>
      <c r="D41" s="62" t="s">
        <v>52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/>
      <c r="P41" s="27">
        <v>1.3600000000000001E-3</v>
      </c>
      <c r="Q41" s="28">
        <f t="shared" si="0"/>
        <v>1.3600000000000001E-3</v>
      </c>
    </row>
    <row r="42" spans="1:17" ht="15">
      <c r="A42" s="31">
        <v>1</v>
      </c>
      <c r="B42" s="19" t="s">
        <v>51</v>
      </c>
      <c r="C42" s="25" t="s">
        <v>238</v>
      </c>
      <c r="D42" s="62" t="s">
        <v>52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/>
      <c r="P42" s="27">
        <v>1.3600000000000001E-3</v>
      </c>
      <c r="Q42" s="28">
        <f t="shared" si="0"/>
        <v>1.3600000000000001E-3</v>
      </c>
    </row>
    <row r="43" spans="1:17" ht="15">
      <c r="A43" s="31">
        <v>1</v>
      </c>
      <c r="B43" s="19" t="s">
        <v>51</v>
      </c>
      <c r="C43" s="25" t="s">
        <v>239</v>
      </c>
      <c r="D43" s="62" t="s">
        <v>52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/>
      <c r="P43" s="27">
        <v>1.3600000000000001E-3</v>
      </c>
      <c r="Q43" s="28">
        <f t="shared" si="0"/>
        <v>1.3600000000000001E-3</v>
      </c>
    </row>
    <row r="44" spans="1:17" ht="15">
      <c r="A44" s="31">
        <v>1</v>
      </c>
      <c r="B44" s="19" t="s">
        <v>51</v>
      </c>
      <c r="C44" s="25" t="s">
        <v>240</v>
      </c>
      <c r="D44" s="62" t="s">
        <v>52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/>
      <c r="P44" s="27">
        <v>1.3600000000000001E-3</v>
      </c>
      <c r="Q44" s="28">
        <f t="shared" si="0"/>
        <v>1.3600000000000001E-3</v>
      </c>
    </row>
    <row r="45" spans="1:17" ht="15">
      <c r="A45" s="31">
        <v>1</v>
      </c>
      <c r="B45" s="19" t="s">
        <v>51</v>
      </c>
      <c r="C45" s="25" t="s">
        <v>241</v>
      </c>
      <c r="D45" s="62" t="s">
        <v>52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/>
      <c r="P45" s="27">
        <v>1.3600000000000001E-3</v>
      </c>
      <c r="Q45" s="28">
        <f t="shared" si="0"/>
        <v>1.3600000000000001E-3</v>
      </c>
    </row>
    <row r="46" spans="1:17" ht="15">
      <c r="A46" s="31">
        <v>1</v>
      </c>
      <c r="B46" s="19" t="s">
        <v>51</v>
      </c>
      <c r="C46" s="25" t="s">
        <v>242</v>
      </c>
      <c r="D46" s="62" t="s">
        <v>52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/>
      <c r="P46" s="27">
        <v>1.3600000000000001E-3</v>
      </c>
      <c r="Q46" s="28">
        <f t="shared" si="0"/>
        <v>1.3600000000000001E-3</v>
      </c>
    </row>
    <row r="47" spans="1:17" ht="15">
      <c r="A47" s="31">
        <v>1</v>
      </c>
      <c r="B47" s="19" t="s">
        <v>51</v>
      </c>
      <c r="C47" s="25" t="s">
        <v>243</v>
      </c>
      <c r="D47" s="62" t="s">
        <v>52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19" t="s">
        <v>51</v>
      </c>
      <c r="C48" s="25" t="s">
        <v>244</v>
      </c>
      <c r="D48" s="62" t="s">
        <v>52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19" t="s">
        <v>51</v>
      </c>
      <c r="C49" s="25" t="s">
        <v>245</v>
      </c>
      <c r="D49" s="62" t="s">
        <v>52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19" t="s">
        <v>51</v>
      </c>
      <c r="C50" s="25" t="s">
        <v>246</v>
      </c>
      <c r="D50" s="62" t="s">
        <v>52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19" t="s">
        <v>51</v>
      </c>
      <c r="C51" s="25" t="s">
        <v>247</v>
      </c>
      <c r="D51" s="62" t="s">
        <v>52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19" t="s">
        <v>51</v>
      </c>
      <c r="C52" s="25" t="s">
        <v>248</v>
      </c>
      <c r="D52" s="62" t="s">
        <v>52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19" t="s">
        <v>51</v>
      </c>
      <c r="C53" s="25" t="s">
        <v>249</v>
      </c>
      <c r="D53" s="62" t="s">
        <v>52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19" t="s">
        <v>51</v>
      </c>
      <c r="C54" s="25" t="s">
        <v>250</v>
      </c>
      <c r="D54" s="62" t="s">
        <v>52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19" t="s">
        <v>51</v>
      </c>
      <c r="C55" s="25" t="s">
        <v>251</v>
      </c>
      <c r="D55" s="62" t="s">
        <v>52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19" t="s">
        <v>51</v>
      </c>
      <c r="C56" s="25" t="s">
        <v>252</v>
      </c>
      <c r="D56" s="62" t="s">
        <v>52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19" t="s">
        <v>51</v>
      </c>
      <c r="C57" s="25" t="s">
        <v>253</v>
      </c>
      <c r="D57" s="62" t="s">
        <v>52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v>0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 t="s">
        <v>22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 t="s">
        <v>64</v>
      </c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 t="s">
        <v>66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 t="s">
        <v>67</v>
      </c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DBAE-3948-460E-B74D-8B6E247272D9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12" t="s">
        <v>254</v>
      </c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>
        <v>0</v>
      </c>
    </row>
    <row r="22" spans="1:17" ht="15">
      <c r="A22" s="29">
        <v>1</v>
      </c>
      <c r="B22" s="56" t="s">
        <v>51</v>
      </c>
      <c r="C22" s="67" t="s">
        <v>255</v>
      </c>
      <c r="D22" s="62" t="s">
        <v>52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56" t="s">
        <v>51</v>
      </c>
      <c r="C23" s="67" t="s">
        <v>256</v>
      </c>
      <c r="D23" s="62" t="s">
        <v>52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56" t="s">
        <v>51</v>
      </c>
      <c r="C24" s="67" t="s">
        <v>257</v>
      </c>
      <c r="D24" s="62" t="s">
        <v>52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56" t="s">
        <v>51</v>
      </c>
      <c r="C25" s="67" t="s">
        <v>258</v>
      </c>
      <c r="D25" s="62" t="s">
        <v>52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/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56" t="s">
        <v>51</v>
      </c>
      <c r="C26" s="67" t="s">
        <v>259</v>
      </c>
      <c r="D26" s="62" t="s">
        <v>52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56" t="s">
        <v>51</v>
      </c>
      <c r="C27" s="67" t="s">
        <v>260</v>
      </c>
      <c r="D27" s="62" t="s">
        <v>52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56" t="s">
        <v>51</v>
      </c>
      <c r="C28" s="67" t="s">
        <v>261</v>
      </c>
      <c r="D28" s="62" t="s">
        <v>52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7">
        <v>1.3600000000000001E-3</v>
      </c>
      <c r="Q28" s="28">
        <f t="shared" si="0"/>
        <v>1.3600000000000001E-3</v>
      </c>
    </row>
    <row r="29" spans="1:17" ht="15">
      <c r="A29" s="31">
        <v>1</v>
      </c>
      <c r="B29" s="56" t="s">
        <v>51</v>
      </c>
      <c r="C29" s="67" t="s">
        <v>262</v>
      </c>
      <c r="D29" s="62" t="s">
        <v>52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56" t="s">
        <v>51</v>
      </c>
      <c r="C30" s="67" t="s">
        <v>263</v>
      </c>
      <c r="D30" s="62" t="s">
        <v>52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56" t="s">
        <v>51</v>
      </c>
      <c r="C31" s="67" t="s">
        <v>264</v>
      </c>
      <c r="D31" s="62" t="s">
        <v>52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7">
        <v>1.3600000000000001E-3</v>
      </c>
      <c r="Q31" s="28">
        <f t="shared" si="0"/>
        <v>1.3600000000000001E-3</v>
      </c>
    </row>
    <row r="32" spans="1:17" ht="15">
      <c r="A32" s="31">
        <v>1</v>
      </c>
      <c r="B32" s="56" t="s">
        <v>51</v>
      </c>
      <c r="C32" s="67" t="s">
        <v>265</v>
      </c>
      <c r="D32" s="62" t="s">
        <v>52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27">
        <v>1.3600000000000001E-3</v>
      </c>
      <c r="Q32" s="28">
        <f t="shared" si="0"/>
        <v>1.3600000000000001E-3</v>
      </c>
    </row>
    <row r="33" spans="1:17" ht="15">
      <c r="A33" s="31">
        <v>1</v>
      </c>
      <c r="B33" s="56" t="s">
        <v>51</v>
      </c>
      <c r="C33" s="67" t="s">
        <v>266</v>
      </c>
      <c r="D33" s="62" t="s">
        <v>52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56" t="s">
        <v>51</v>
      </c>
      <c r="C34" s="67" t="s">
        <v>267</v>
      </c>
      <c r="D34" s="62" t="s">
        <v>52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56" t="s">
        <v>51</v>
      </c>
      <c r="C35" s="67" t="s">
        <v>268</v>
      </c>
      <c r="D35" s="62" t="s">
        <v>52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/>
      <c r="P35" s="27">
        <v>1.3600000000000001E-3</v>
      </c>
      <c r="Q35" s="28">
        <f t="shared" si="0"/>
        <v>1.3600000000000001E-3</v>
      </c>
    </row>
    <row r="36" spans="1:17" ht="15">
      <c r="A36" s="31">
        <v>1</v>
      </c>
      <c r="B36" s="56" t="s">
        <v>51</v>
      </c>
      <c r="C36" s="67" t="s">
        <v>269</v>
      </c>
      <c r="D36" s="62" t="s">
        <v>52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27">
        <v>1.3600000000000001E-3</v>
      </c>
      <c r="Q36" s="28">
        <f t="shared" si="0"/>
        <v>1.3600000000000001E-3</v>
      </c>
    </row>
    <row r="37" spans="1:17" ht="15">
      <c r="A37" s="31">
        <v>1</v>
      </c>
      <c r="B37" s="56" t="s">
        <v>51</v>
      </c>
      <c r="C37" s="67" t="s">
        <v>270</v>
      </c>
      <c r="D37" s="62" t="s">
        <v>52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27">
        <v>1.3600000000000001E-3</v>
      </c>
      <c r="Q37" s="28">
        <f t="shared" si="0"/>
        <v>1.3600000000000001E-3</v>
      </c>
    </row>
    <row r="38" spans="1:17" ht="15">
      <c r="A38" s="31">
        <v>1</v>
      </c>
      <c r="B38" s="56" t="s">
        <v>51</v>
      </c>
      <c r="C38" s="67" t="s">
        <v>271</v>
      </c>
      <c r="D38" s="62" t="s">
        <v>52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/>
      <c r="P38" s="27">
        <v>1.3600000000000001E-3</v>
      </c>
      <c r="Q38" s="28">
        <f t="shared" si="0"/>
        <v>1.3600000000000001E-3</v>
      </c>
    </row>
    <row r="39" spans="1:17" ht="15">
      <c r="A39" s="31">
        <v>1</v>
      </c>
      <c r="B39" s="56" t="s">
        <v>51</v>
      </c>
      <c r="C39" s="67" t="s">
        <v>272</v>
      </c>
      <c r="D39" s="62" t="s">
        <v>52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/>
      <c r="P39" s="27">
        <v>1.3600000000000001E-3</v>
      </c>
      <c r="Q39" s="28">
        <f t="shared" si="0"/>
        <v>1.3600000000000001E-3</v>
      </c>
    </row>
    <row r="40" spans="1:17" ht="15">
      <c r="A40" s="31">
        <v>1</v>
      </c>
      <c r="B40" s="56" t="s">
        <v>51</v>
      </c>
      <c r="C40" s="67" t="s">
        <v>273</v>
      </c>
      <c r="D40" s="62" t="s">
        <v>52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/>
      <c r="P40" s="27">
        <v>1.3600000000000001E-3</v>
      </c>
      <c r="Q40" s="28">
        <f t="shared" si="0"/>
        <v>1.3600000000000001E-3</v>
      </c>
    </row>
    <row r="41" spans="1:17" ht="15">
      <c r="A41" s="31">
        <v>1</v>
      </c>
      <c r="B41" s="56" t="s">
        <v>51</v>
      </c>
      <c r="C41" s="67" t="s">
        <v>274</v>
      </c>
      <c r="D41" s="62" t="s">
        <v>52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/>
      <c r="P41" s="27">
        <v>1.3600000000000001E-3</v>
      </c>
      <c r="Q41" s="28">
        <f t="shared" si="0"/>
        <v>1.3600000000000001E-3</v>
      </c>
    </row>
    <row r="42" spans="1:17" ht="15">
      <c r="A42" s="31">
        <v>1</v>
      </c>
      <c r="B42" s="56" t="s">
        <v>51</v>
      </c>
      <c r="C42" s="67" t="s">
        <v>275</v>
      </c>
      <c r="D42" s="62" t="s">
        <v>52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/>
      <c r="P42" s="27">
        <v>1.3600000000000001E-3</v>
      </c>
      <c r="Q42" s="28">
        <f t="shared" si="0"/>
        <v>1.3600000000000001E-3</v>
      </c>
    </row>
    <row r="43" spans="1:17" ht="15">
      <c r="A43" s="31">
        <v>1</v>
      </c>
      <c r="B43" s="56" t="s">
        <v>51</v>
      </c>
      <c r="C43" s="67" t="s">
        <v>276</v>
      </c>
      <c r="D43" s="62" t="s">
        <v>52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/>
      <c r="P43" s="27">
        <v>1.3600000000000001E-3</v>
      </c>
      <c r="Q43" s="28">
        <f t="shared" si="0"/>
        <v>1.3600000000000001E-3</v>
      </c>
    </row>
    <row r="44" spans="1:17" ht="15">
      <c r="A44" s="31">
        <v>1</v>
      </c>
      <c r="B44" s="56" t="s">
        <v>51</v>
      </c>
      <c r="C44" s="67" t="s">
        <v>277</v>
      </c>
      <c r="D44" s="62" t="s">
        <v>52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/>
      <c r="P44" s="27">
        <v>1.3600000000000001E-3</v>
      </c>
      <c r="Q44" s="28">
        <f t="shared" si="0"/>
        <v>1.3600000000000001E-3</v>
      </c>
    </row>
    <row r="45" spans="1:17" ht="15">
      <c r="A45" s="31">
        <v>1</v>
      </c>
      <c r="B45" s="56" t="s">
        <v>51</v>
      </c>
      <c r="C45" s="67" t="s">
        <v>278</v>
      </c>
      <c r="D45" s="62" t="s">
        <v>52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/>
      <c r="P45" s="27">
        <v>1.3600000000000001E-3</v>
      </c>
      <c r="Q45" s="28">
        <f t="shared" si="0"/>
        <v>1.3600000000000001E-3</v>
      </c>
    </row>
    <row r="46" spans="1:17" ht="15">
      <c r="A46" s="31">
        <v>1</v>
      </c>
      <c r="B46" s="56" t="s">
        <v>51</v>
      </c>
      <c r="C46" s="67" t="s">
        <v>279</v>
      </c>
      <c r="D46" s="62" t="s">
        <v>52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/>
      <c r="P46" s="27">
        <v>1.3600000000000001E-3</v>
      </c>
      <c r="Q46" s="28">
        <f t="shared" si="0"/>
        <v>1.3600000000000001E-3</v>
      </c>
    </row>
    <row r="47" spans="1:17" ht="15">
      <c r="A47" s="31">
        <v>1</v>
      </c>
      <c r="B47" s="56" t="s">
        <v>51</v>
      </c>
      <c r="C47" s="67" t="s">
        <v>280</v>
      </c>
      <c r="D47" s="62" t="s">
        <v>52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56" t="s">
        <v>51</v>
      </c>
      <c r="C48" s="67" t="s">
        <v>281</v>
      </c>
      <c r="D48" s="62" t="s">
        <v>52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56" t="s">
        <v>51</v>
      </c>
      <c r="C49" s="67" t="s">
        <v>282</v>
      </c>
      <c r="D49" s="62" t="s">
        <v>52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56" t="s">
        <v>51</v>
      </c>
      <c r="C50" s="67" t="s">
        <v>283</v>
      </c>
      <c r="D50" s="62" t="s">
        <v>52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56" t="s">
        <v>51</v>
      </c>
      <c r="C51" s="67" t="s">
        <v>284</v>
      </c>
      <c r="D51" s="62" t="s">
        <v>52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56" t="s">
        <v>51</v>
      </c>
      <c r="C52" s="67" t="s">
        <v>285</v>
      </c>
      <c r="D52" s="62" t="s">
        <v>52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56" t="s">
        <v>51</v>
      </c>
      <c r="C53" s="67" t="s">
        <v>286</v>
      </c>
      <c r="D53" s="62" t="s">
        <v>52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56" t="s">
        <v>51</v>
      </c>
      <c r="C54" s="67" t="s">
        <v>287</v>
      </c>
      <c r="D54" s="62" t="s">
        <v>52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56" t="s">
        <v>51</v>
      </c>
      <c r="C55" s="67" t="s">
        <v>288</v>
      </c>
      <c r="D55" s="62" t="s">
        <v>52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56" t="s">
        <v>51</v>
      </c>
      <c r="C56" s="67" t="s">
        <v>289</v>
      </c>
      <c r="D56" s="62" t="s">
        <v>52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56" t="s">
        <v>51</v>
      </c>
      <c r="C57" s="67" t="s">
        <v>290</v>
      </c>
      <c r="D57" s="62" t="s">
        <v>52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2"/>
      <c r="B58" s="68"/>
      <c r="C58" s="67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v>0</v>
      </c>
    </row>
    <row r="59" spans="1:17" ht="15">
      <c r="A59" s="69" t="s">
        <v>60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 t="s">
        <v>22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 t="s">
        <v>64</v>
      </c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 t="s">
        <v>66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 t="s">
        <v>67</v>
      </c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792-684B-4FF6-BDB3-FDDFE4810098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12" t="s">
        <v>291</v>
      </c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>
        <v>0</v>
      </c>
    </row>
    <row r="22" spans="1:17" ht="15">
      <c r="A22" s="29">
        <v>1</v>
      </c>
      <c r="B22" s="19" t="s">
        <v>51</v>
      </c>
      <c r="C22" s="25" t="s">
        <v>292</v>
      </c>
      <c r="D22" s="62" t="s">
        <v>52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19" t="s">
        <v>51</v>
      </c>
      <c r="C23" s="25" t="s">
        <v>293</v>
      </c>
      <c r="D23" s="62" t="s">
        <v>52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51</v>
      </c>
      <c r="C24" s="25" t="s">
        <v>294</v>
      </c>
      <c r="D24" s="62" t="s">
        <v>52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19" t="s">
        <v>51</v>
      </c>
      <c r="C25" s="25" t="s">
        <v>295</v>
      </c>
      <c r="D25" s="62" t="s">
        <v>52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/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19" t="s">
        <v>51</v>
      </c>
      <c r="C26" s="25" t="s">
        <v>296</v>
      </c>
      <c r="D26" s="62" t="s">
        <v>52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 t="s">
        <v>51</v>
      </c>
      <c r="C27" s="25" t="s">
        <v>297</v>
      </c>
      <c r="D27" s="62" t="s">
        <v>52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19" t="s">
        <v>51</v>
      </c>
      <c r="C28" s="25" t="s">
        <v>298</v>
      </c>
      <c r="D28" s="62" t="s">
        <v>52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7">
        <v>1.3600000000000001E-3</v>
      </c>
      <c r="Q28" s="28">
        <f t="shared" si="0"/>
        <v>1.3600000000000001E-3</v>
      </c>
    </row>
    <row r="29" spans="1:17" ht="15">
      <c r="A29" s="31">
        <v>1</v>
      </c>
      <c r="B29" s="19" t="s">
        <v>51</v>
      </c>
      <c r="C29" s="25" t="s">
        <v>299</v>
      </c>
      <c r="D29" s="62" t="s">
        <v>52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19" t="s">
        <v>51</v>
      </c>
      <c r="C30" s="25" t="s">
        <v>300</v>
      </c>
      <c r="D30" s="62" t="s">
        <v>52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19" t="s">
        <v>51</v>
      </c>
      <c r="C31" s="25" t="s">
        <v>301</v>
      </c>
      <c r="D31" s="62" t="s">
        <v>52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7">
        <v>1.3600000000000001E-3</v>
      </c>
      <c r="Q31" s="28">
        <f t="shared" si="0"/>
        <v>1.3600000000000001E-3</v>
      </c>
    </row>
    <row r="32" spans="1:17" ht="15">
      <c r="A32" s="31">
        <v>1</v>
      </c>
      <c r="B32" s="19" t="s">
        <v>51</v>
      </c>
      <c r="C32" s="25" t="s">
        <v>302</v>
      </c>
      <c r="D32" s="62" t="s">
        <v>52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27">
        <v>1.3600000000000001E-3</v>
      </c>
      <c r="Q32" s="28">
        <f t="shared" si="0"/>
        <v>1.3600000000000001E-3</v>
      </c>
    </row>
    <row r="33" spans="1:17" ht="15">
      <c r="A33" s="31">
        <v>1</v>
      </c>
      <c r="B33" s="19" t="s">
        <v>51</v>
      </c>
      <c r="C33" s="25" t="s">
        <v>303</v>
      </c>
      <c r="D33" s="62" t="s">
        <v>52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19" t="s">
        <v>51</v>
      </c>
      <c r="C34" s="25" t="s">
        <v>304</v>
      </c>
      <c r="D34" s="62" t="s">
        <v>52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19" t="s">
        <v>305</v>
      </c>
      <c r="C35" s="25" t="s">
        <v>31</v>
      </c>
      <c r="D35" s="62" t="s">
        <v>306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/>
      <c r="P35" s="27">
        <v>64500</v>
      </c>
      <c r="Q35" s="28">
        <f t="shared" si="0"/>
        <v>64500</v>
      </c>
    </row>
    <row r="36" spans="1:17" ht="15">
      <c r="A36" s="31">
        <v>1</v>
      </c>
      <c r="B36" s="19" t="s">
        <v>307</v>
      </c>
      <c r="C36" s="25" t="s">
        <v>31</v>
      </c>
      <c r="D36" s="62" t="s">
        <v>308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27">
        <v>25950</v>
      </c>
      <c r="Q36" s="28">
        <f t="shared" si="0"/>
        <v>25950</v>
      </c>
    </row>
    <row r="37" spans="1:17" ht="15">
      <c r="A37" s="31">
        <v>1</v>
      </c>
      <c r="B37" s="19" t="s">
        <v>307</v>
      </c>
      <c r="C37" s="25" t="s">
        <v>35</v>
      </c>
      <c r="D37" s="62" t="s">
        <v>308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27">
        <v>25950</v>
      </c>
      <c r="Q37" s="28">
        <f t="shared" si="0"/>
        <v>25950</v>
      </c>
    </row>
    <row r="38" spans="1:17" ht="15">
      <c r="A38" s="31">
        <v>1</v>
      </c>
      <c r="B38" s="19" t="s">
        <v>309</v>
      </c>
      <c r="C38" s="25" t="s">
        <v>31</v>
      </c>
      <c r="D38" s="62" t="s">
        <v>310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/>
      <c r="P38" s="27">
        <v>20500</v>
      </c>
      <c r="Q38" s="28">
        <f t="shared" si="0"/>
        <v>20500</v>
      </c>
    </row>
    <row r="39" spans="1:17" ht="15">
      <c r="A39" s="31">
        <v>1</v>
      </c>
      <c r="B39" s="19" t="s">
        <v>309</v>
      </c>
      <c r="C39" s="25" t="s">
        <v>35</v>
      </c>
      <c r="D39" s="62" t="s">
        <v>311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/>
      <c r="P39" s="27">
        <v>25950</v>
      </c>
      <c r="Q39" s="28">
        <f t="shared" si="0"/>
        <v>25950</v>
      </c>
    </row>
    <row r="40" spans="1:17" ht="15">
      <c r="A40" s="31">
        <v>1</v>
      </c>
      <c r="B40" s="19" t="s">
        <v>312</v>
      </c>
      <c r="C40" s="25" t="s">
        <v>31</v>
      </c>
      <c r="D40" s="62" t="s">
        <v>313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/>
      <c r="P40" s="27">
        <v>23870</v>
      </c>
      <c r="Q40" s="28">
        <f t="shared" si="0"/>
        <v>23870</v>
      </c>
    </row>
    <row r="41" spans="1:17" ht="15">
      <c r="A41" s="31">
        <v>1</v>
      </c>
      <c r="B41" s="19" t="s">
        <v>312</v>
      </c>
      <c r="C41" s="25" t="s">
        <v>35</v>
      </c>
      <c r="D41" s="62" t="s">
        <v>313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/>
      <c r="P41" s="27">
        <v>23870</v>
      </c>
      <c r="Q41" s="28">
        <f t="shared" si="0"/>
        <v>23870</v>
      </c>
    </row>
    <row r="42" spans="1:17" ht="15">
      <c r="A42" s="31">
        <v>1</v>
      </c>
      <c r="B42" s="19" t="s">
        <v>312</v>
      </c>
      <c r="C42" s="25" t="s">
        <v>38</v>
      </c>
      <c r="D42" s="62" t="s">
        <v>314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/>
      <c r="P42" s="27">
        <v>23870</v>
      </c>
      <c r="Q42" s="28">
        <f t="shared" si="0"/>
        <v>23870</v>
      </c>
    </row>
    <row r="43" spans="1:17" ht="15">
      <c r="A43" s="31">
        <v>1</v>
      </c>
      <c r="B43" s="19" t="s">
        <v>315</v>
      </c>
      <c r="C43" s="25" t="s">
        <v>31</v>
      </c>
      <c r="D43" s="62" t="s">
        <v>316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/>
      <c r="P43" s="27">
        <v>1.3600000000000001E-3</v>
      </c>
      <c r="Q43" s="28">
        <f t="shared" si="0"/>
        <v>1.3600000000000001E-3</v>
      </c>
    </row>
    <row r="44" spans="1:17" ht="15">
      <c r="A44" s="31">
        <v>1</v>
      </c>
      <c r="B44" s="19" t="s">
        <v>315</v>
      </c>
      <c r="C44" s="25" t="s">
        <v>35</v>
      </c>
      <c r="D44" s="62" t="s">
        <v>317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/>
      <c r="P44" s="27">
        <v>1.3600000000000001E-3</v>
      </c>
      <c r="Q44" s="28">
        <f t="shared" si="0"/>
        <v>1.3600000000000001E-3</v>
      </c>
    </row>
    <row r="45" spans="1:17" ht="15">
      <c r="A45" s="31">
        <v>1</v>
      </c>
      <c r="B45" s="19" t="s">
        <v>315</v>
      </c>
      <c r="C45" s="25" t="s">
        <v>38</v>
      </c>
      <c r="D45" s="62" t="s">
        <v>318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/>
      <c r="P45" s="27">
        <v>1.3600000000000001E-3</v>
      </c>
      <c r="Q45" s="28">
        <f t="shared" si="0"/>
        <v>1.3600000000000001E-3</v>
      </c>
    </row>
    <row r="46" spans="1:17" ht="15">
      <c r="A46" s="31">
        <v>1</v>
      </c>
      <c r="B46" s="19" t="s">
        <v>315</v>
      </c>
      <c r="C46" s="25" t="s">
        <v>39</v>
      </c>
      <c r="D46" s="62" t="s">
        <v>319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/>
      <c r="P46" s="27">
        <v>1.3600000000000001E-3</v>
      </c>
      <c r="Q46" s="28">
        <f t="shared" si="0"/>
        <v>1.3600000000000001E-3</v>
      </c>
    </row>
    <row r="47" spans="1:17" ht="15">
      <c r="A47" s="31">
        <v>1</v>
      </c>
      <c r="B47" s="19" t="s">
        <v>320</v>
      </c>
      <c r="C47" s="25" t="s">
        <v>31</v>
      </c>
      <c r="D47" s="62" t="s">
        <v>321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19" t="s">
        <v>320</v>
      </c>
      <c r="C48" s="25" t="s">
        <v>35</v>
      </c>
      <c r="D48" s="62" t="s">
        <v>322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19" t="s">
        <v>320</v>
      </c>
      <c r="C49" s="25" t="s">
        <v>38</v>
      </c>
      <c r="D49" s="62" t="s">
        <v>322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19" t="s">
        <v>320</v>
      </c>
      <c r="C50" s="25" t="s">
        <v>39</v>
      </c>
      <c r="D50" s="62" t="s">
        <v>322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19" t="s">
        <v>320</v>
      </c>
      <c r="C51" s="25" t="s">
        <v>40</v>
      </c>
      <c r="D51" s="62" t="s">
        <v>322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19" t="s">
        <v>320</v>
      </c>
      <c r="C52" s="25" t="s">
        <v>43</v>
      </c>
      <c r="D52" s="62" t="s">
        <v>322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19" t="s">
        <v>320</v>
      </c>
      <c r="C53" s="25" t="s">
        <v>44</v>
      </c>
      <c r="D53" s="62" t="s">
        <v>322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19" t="s">
        <v>320</v>
      </c>
      <c r="C54" s="25" t="s">
        <v>45</v>
      </c>
      <c r="D54" s="62" t="s">
        <v>322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19" t="s">
        <v>320</v>
      </c>
      <c r="C55" s="25" t="s">
        <v>46</v>
      </c>
      <c r="D55" s="62" t="s">
        <v>323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19" t="s">
        <v>320</v>
      </c>
      <c r="C56" s="25" t="s">
        <v>41</v>
      </c>
      <c r="D56" s="62" t="s">
        <v>322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19" t="s">
        <v>320</v>
      </c>
      <c r="C57" s="25" t="s">
        <v>42</v>
      </c>
      <c r="D57" s="62" t="s">
        <v>322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f>SUM(Q21:Q57)</f>
        <v>234460.03807999991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 t="s">
        <v>22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 t="s">
        <v>64</v>
      </c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 t="s">
        <v>66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 t="s">
        <v>67</v>
      </c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4CBF-6127-481C-9AA2-7488D92A1788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12" t="s">
        <v>324</v>
      </c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>
        <f>Hoja_8!Q58</f>
        <v>234460.03807999991</v>
      </c>
    </row>
    <row r="22" spans="1:17" ht="15">
      <c r="A22" s="29">
        <v>1</v>
      </c>
      <c r="B22" s="19" t="s">
        <v>325</v>
      </c>
      <c r="C22" s="25" t="s">
        <v>31</v>
      </c>
      <c r="D22" s="62" t="s">
        <v>321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19" t="s">
        <v>326</v>
      </c>
      <c r="C23" s="25" t="s">
        <v>31</v>
      </c>
      <c r="D23" s="62" t="s">
        <v>321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327</v>
      </c>
      <c r="C24" s="25" t="s">
        <v>31</v>
      </c>
      <c r="D24" s="62" t="s">
        <v>328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14061.89</v>
      </c>
      <c r="Q24" s="28">
        <f t="shared" si="0"/>
        <v>14061.89</v>
      </c>
    </row>
    <row r="25" spans="1:17" ht="15">
      <c r="A25" s="31">
        <v>1</v>
      </c>
      <c r="B25" s="19" t="s">
        <v>327</v>
      </c>
      <c r="C25" s="25" t="s">
        <v>35</v>
      </c>
      <c r="D25" s="62" t="s">
        <v>328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/>
      <c r="P25" s="27">
        <v>14061.89</v>
      </c>
      <c r="Q25" s="28">
        <f t="shared" si="0"/>
        <v>14061.89</v>
      </c>
    </row>
    <row r="26" spans="1:17" ht="15">
      <c r="A26" s="31">
        <v>1</v>
      </c>
      <c r="B26" s="19" t="s">
        <v>329</v>
      </c>
      <c r="C26" s="25" t="s">
        <v>31</v>
      </c>
      <c r="D26" s="62" t="s">
        <v>330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 t="s">
        <v>329</v>
      </c>
      <c r="C27" s="25" t="s">
        <v>35</v>
      </c>
      <c r="D27" s="62" t="s">
        <v>331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19" t="s">
        <v>332</v>
      </c>
      <c r="C28" s="25" t="s">
        <v>31</v>
      </c>
      <c r="D28" s="62" t="s">
        <v>333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7">
        <v>4450.8599999999997</v>
      </c>
      <c r="Q28" s="28">
        <f t="shared" si="0"/>
        <v>4450.8599999999997</v>
      </c>
    </row>
    <row r="29" spans="1:17" ht="15">
      <c r="A29" s="31">
        <v>1</v>
      </c>
      <c r="B29" s="19" t="s">
        <v>334</v>
      </c>
      <c r="C29" s="25" t="s">
        <v>31</v>
      </c>
      <c r="D29" s="62" t="s">
        <v>335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19" t="s">
        <v>334</v>
      </c>
      <c r="C30" s="25" t="s">
        <v>35</v>
      </c>
      <c r="D30" s="62" t="s">
        <v>335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19" t="s">
        <v>336</v>
      </c>
      <c r="C31" s="25" t="s">
        <v>31</v>
      </c>
      <c r="D31" s="62" t="s">
        <v>337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7">
        <v>3894.66</v>
      </c>
      <c r="Q31" s="28">
        <f t="shared" si="0"/>
        <v>3894.66</v>
      </c>
    </row>
    <row r="32" spans="1:17" ht="15">
      <c r="A32" s="31">
        <v>1</v>
      </c>
      <c r="B32" s="19" t="s">
        <v>336</v>
      </c>
      <c r="C32" s="25" t="s">
        <v>35</v>
      </c>
      <c r="D32" s="62" t="s">
        <v>337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27">
        <v>3894.66</v>
      </c>
      <c r="Q32" s="28">
        <f t="shared" si="0"/>
        <v>3894.66</v>
      </c>
    </row>
    <row r="33" spans="1:17" ht="15">
      <c r="A33" s="31">
        <v>1</v>
      </c>
      <c r="B33" s="19" t="s">
        <v>338</v>
      </c>
      <c r="C33" s="25" t="s">
        <v>31</v>
      </c>
      <c r="D33" s="62" t="s">
        <v>339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19" t="s">
        <v>338</v>
      </c>
      <c r="C34" s="25" t="s">
        <v>35</v>
      </c>
      <c r="D34" s="62" t="s">
        <v>339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19" t="s">
        <v>340</v>
      </c>
      <c r="C35" s="25" t="s">
        <v>31</v>
      </c>
      <c r="D35" s="62" t="s">
        <v>341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/>
      <c r="P35" s="27">
        <v>41114.629999999997</v>
      </c>
      <c r="Q35" s="28">
        <f t="shared" si="0"/>
        <v>41114.629999999997</v>
      </c>
    </row>
    <row r="36" spans="1:17" ht="15">
      <c r="A36" s="31">
        <v>1</v>
      </c>
      <c r="B36" s="19" t="s">
        <v>340</v>
      </c>
      <c r="C36" s="25" t="s">
        <v>35</v>
      </c>
      <c r="D36" s="62" t="s">
        <v>342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27">
        <v>41114.629999999997</v>
      </c>
      <c r="Q36" s="28">
        <f t="shared" si="0"/>
        <v>41114.629999999997</v>
      </c>
    </row>
    <row r="37" spans="1:17" ht="15">
      <c r="A37" s="31">
        <v>1</v>
      </c>
      <c r="B37" s="19" t="s">
        <v>343</v>
      </c>
      <c r="C37" s="25" t="s">
        <v>31</v>
      </c>
      <c r="D37" s="62" t="s">
        <v>344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27">
        <v>43631.82</v>
      </c>
      <c r="Q37" s="28">
        <f t="shared" si="0"/>
        <v>43631.82</v>
      </c>
    </row>
    <row r="38" spans="1:17" ht="15">
      <c r="A38" s="31">
        <v>1</v>
      </c>
      <c r="B38" s="19" t="s">
        <v>345</v>
      </c>
      <c r="C38" s="25" t="s">
        <v>31</v>
      </c>
      <c r="D38" s="62" t="s">
        <v>346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/>
      <c r="P38" s="27">
        <v>1450.36</v>
      </c>
      <c r="Q38" s="28">
        <f t="shared" si="0"/>
        <v>1450.36</v>
      </c>
    </row>
    <row r="39" spans="1:17" ht="15">
      <c r="A39" s="31">
        <v>1</v>
      </c>
      <c r="B39" s="19" t="s">
        <v>347</v>
      </c>
      <c r="C39" s="25" t="s">
        <v>31</v>
      </c>
      <c r="D39" s="62" t="s">
        <v>348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/>
      <c r="P39" s="27">
        <v>5126.2700000000004</v>
      </c>
      <c r="Q39" s="28">
        <f t="shared" si="0"/>
        <v>5126.2700000000004</v>
      </c>
    </row>
    <row r="40" spans="1:17" ht="15">
      <c r="A40" s="31">
        <v>1</v>
      </c>
      <c r="B40" s="19" t="s">
        <v>349</v>
      </c>
      <c r="C40" s="25" t="s">
        <v>31</v>
      </c>
      <c r="D40" s="62" t="s">
        <v>350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/>
      <c r="P40" s="27">
        <v>1.3600000000000001E-3</v>
      </c>
      <c r="Q40" s="28">
        <f t="shared" si="0"/>
        <v>1.3600000000000001E-3</v>
      </c>
    </row>
    <row r="41" spans="1:17" ht="15">
      <c r="A41" s="31">
        <v>1</v>
      </c>
      <c r="B41" s="19" t="s">
        <v>351</v>
      </c>
      <c r="C41" s="25" t="s">
        <v>31</v>
      </c>
      <c r="D41" s="62" t="s">
        <v>352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/>
      <c r="P41" s="27">
        <v>9817.65</v>
      </c>
      <c r="Q41" s="28">
        <f t="shared" si="0"/>
        <v>9817.65</v>
      </c>
    </row>
    <row r="42" spans="1:17" ht="15">
      <c r="A42" s="31">
        <v>1</v>
      </c>
      <c r="B42" s="19" t="s">
        <v>351</v>
      </c>
      <c r="C42" s="25" t="s">
        <v>35</v>
      </c>
      <c r="D42" s="62" t="s">
        <v>352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/>
      <c r="P42" s="27">
        <v>9817.65</v>
      </c>
      <c r="Q42" s="28">
        <f t="shared" si="0"/>
        <v>9817.65</v>
      </c>
    </row>
    <row r="43" spans="1:17" ht="15">
      <c r="A43" s="31">
        <v>1</v>
      </c>
      <c r="B43" s="19" t="s">
        <v>351</v>
      </c>
      <c r="C43" s="25" t="s">
        <v>38</v>
      </c>
      <c r="D43" s="62" t="s">
        <v>352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/>
      <c r="P43" s="27">
        <v>9817.65</v>
      </c>
      <c r="Q43" s="28">
        <f t="shared" si="0"/>
        <v>9817.65</v>
      </c>
    </row>
    <row r="44" spans="1:17" ht="15">
      <c r="A44" s="31">
        <v>1</v>
      </c>
      <c r="B44" s="19" t="s">
        <v>351</v>
      </c>
      <c r="C44" s="25" t="s">
        <v>39</v>
      </c>
      <c r="D44" s="62" t="s">
        <v>352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/>
      <c r="P44" s="27">
        <v>9817.65</v>
      </c>
      <c r="Q44" s="28">
        <f t="shared" si="0"/>
        <v>9817.65</v>
      </c>
    </row>
    <row r="45" spans="1:17" ht="15">
      <c r="A45" s="31">
        <v>1</v>
      </c>
      <c r="B45" s="19" t="s">
        <v>351</v>
      </c>
      <c r="C45" s="25" t="s">
        <v>40</v>
      </c>
      <c r="D45" s="62" t="s">
        <v>352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/>
      <c r="P45" s="27">
        <v>9817.65</v>
      </c>
      <c r="Q45" s="28">
        <f t="shared" si="0"/>
        <v>9817.65</v>
      </c>
    </row>
    <row r="46" spans="1:17" ht="15">
      <c r="A46" s="31">
        <v>1</v>
      </c>
      <c r="B46" s="19" t="s">
        <v>353</v>
      </c>
      <c r="C46" s="25" t="s">
        <v>31</v>
      </c>
      <c r="D46" s="62" t="s">
        <v>354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/>
      <c r="P46" s="27">
        <v>3691.44</v>
      </c>
      <c r="Q46" s="28">
        <f t="shared" si="0"/>
        <v>3691.44</v>
      </c>
    </row>
    <row r="47" spans="1:17" ht="15">
      <c r="A47" s="31">
        <v>1</v>
      </c>
      <c r="B47" s="19" t="s">
        <v>355</v>
      </c>
      <c r="C47" s="25" t="s">
        <v>31</v>
      </c>
      <c r="D47" s="62" t="s">
        <v>356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19" t="s">
        <v>355</v>
      </c>
      <c r="C48" s="25" t="s">
        <v>35</v>
      </c>
      <c r="D48" s="62" t="s">
        <v>356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19" t="s">
        <v>355</v>
      </c>
      <c r="C49" s="25" t="s">
        <v>38</v>
      </c>
      <c r="D49" s="62" t="s">
        <v>356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19" t="s">
        <v>355</v>
      </c>
      <c r="C50" s="25" t="s">
        <v>39</v>
      </c>
      <c r="D50" s="62" t="s">
        <v>356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19" t="s">
        <v>355</v>
      </c>
      <c r="C51" s="25" t="s">
        <v>40</v>
      </c>
      <c r="D51" s="62" t="s">
        <v>357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19" t="s">
        <v>355</v>
      </c>
      <c r="C52" s="25" t="s">
        <v>41</v>
      </c>
      <c r="D52" s="62" t="s">
        <v>357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19" t="s">
        <v>355</v>
      </c>
      <c r="C53" s="25" t="s">
        <v>42</v>
      </c>
      <c r="D53" s="62" t="s">
        <v>357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19" t="s">
        <v>355</v>
      </c>
      <c r="C54" s="25" t="s">
        <v>43</v>
      </c>
      <c r="D54" s="62" t="s">
        <v>357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19" t="s">
        <v>355</v>
      </c>
      <c r="C55" s="25" t="s">
        <v>44</v>
      </c>
      <c r="D55" s="62" t="s">
        <v>357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19" t="s">
        <v>355</v>
      </c>
      <c r="C56" s="25" t="s">
        <v>45</v>
      </c>
      <c r="D56" s="62" t="s">
        <v>357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19" t="s">
        <v>355</v>
      </c>
      <c r="C57" s="25" t="s">
        <v>46</v>
      </c>
      <c r="D57" s="62" t="s">
        <v>357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f>SUM(Q21:Q57)</f>
        <v>460041.42527999991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 t="s">
        <v>22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 t="s">
        <v>64</v>
      </c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 t="s">
        <v>66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 t="s">
        <v>67</v>
      </c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0369-A1FE-44F4-B54D-C332FBB83AA8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12" t="s">
        <v>358</v>
      </c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>
        <f>Hoja_9!Q58</f>
        <v>460041.42527999991</v>
      </c>
    </row>
    <row r="22" spans="1:17" ht="15">
      <c r="A22" s="29">
        <v>1</v>
      </c>
      <c r="B22" s="19" t="s">
        <v>355</v>
      </c>
      <c r="C22" s="25" t="s">
        <v>47</v>
      </c>
      <c r="D22" s="62" t="s">
        <v>357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19" t="s">
        <v>355</v>
      </c>
      <c r="C23" s="25" t="s">
        <v>48</v>
      </c>
      <c r="D23" s="62" t="s">
        <v>357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355</v>
      </c>
      <c r="C24" s="25" t="s">
        <v>53</v>
      </c>
      <c r="D24" s="62" t="s">
        <v>357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19" t="s">
        <v>355</v>
      </c>
      <c r="C25" s="25" t="s">
        <v>54</v>
      </c>
      <c r="D25" s="62" t="s">
        <v>357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/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19" t="s">
        <v>355</v>
      </c>
      <c r="C26" s="25" t="s">
        <v>55</v>
      </c>
      <c r="D26" s="62" t="s">
        <v>357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 t="s">
        <v>355</v>
      </c>
      <c r="C27" s="25" t="s">
        <v>56</v>
      </c>
      <c r="D27" s="62" t="s">
        <v>357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19" t="s">
        <v>355</v>
      </c>
      <c r="C28" s="25" t="s">
        <v>57</v>
      </c>
      <c r="D28" s="62" t="s">
        <v>357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7">
        <v>1.3600000000000001E-3</v>
      </c>
      <c r="Q28" s="28">
        <f t="shared" si="0"/>
        <v>1.3600000000000001E-3</v>
      </c>
    </row>
    <row r="29" spans="1:17" ht="15">
      <c r="A29" s="31">
        <v>1</v>
      </c>
      <c r="B29" s="19" t="s">
        <v>355</v>
      </c>
      <c r="C29" s="25" t="s">
        <v>58</v>
      </c>
      <c r="D29" s="62" t="s">
        <v>357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19" t="s">
        <v>355</v>
      </c>
      <c r="C30" s="25" t="s">
        <v>70</v>
      </c>
      <c r="D30" s="62" t="s">
        <v>357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19" t="s">
        <v>355</v>
      </c>
      <c r="C31" s="25" t="s">
        <v>71</v>
      </c>
      <c r="D31" s="62" t="s">
        <v>359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7">
        <v>1.3600000000000001E-3</v>
      </c>
      <c r="Q31" s="28">
        <f t="shared" si="0"/>
        <v>1.3600000000000001E-3</v>
      </c>
    </row>
    <row r="32" spans="1:17" ht="15">
      <c r="A32" s="31">
        <v>1</v>
      </c>
      <c r="B32" s="19" t="s">
        <v>355</v>
      </c>
      <c r="C32" s="25" t="s">
        <v>87</v>
      </c>
      <c r="D32" s="62" t="s">
        <v>359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27">
        <v>1.3600000000000001E-3</v>
      </c>
      <c r="Q32" s="28">
        <f t="shared" si="0"/>
        <v>1.3600000000000001E-3</v>
      </c>
    </row>
    <row r="33" spans="1:17" ht="15">
      <c r="A33" s="31">
        <v>1</v>
      </c>
      <c r="B33" s="19" t="s">
        <v>355</v>
      </c>
      <c r="C33" s="25" t="s">
        <v>88</v>
      </c>
      <c r="D33" s="62" t="s">
        <v>359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19" t="s">
        <v>355</v>
      </c>
      <c r="C34" s="25" t="s">
        <v>89</v>
      </c>
      <c r="D34" s="62" t="s">
        <v>359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19" t="s">
        <v>355</v>
      </c>
      <c r="C35" s="25" t="s">
        <v>90</v>
      </c>
      <c r="D35" s="62" t="s">
        <v>359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/>
      <c r="P35" s="27">
        <v>1.3600000000000001E-3</v>
      </c>
      <c r="Q35" s="28">
        <f t="shared" si="0"/>
        <v>1.3600000000000001E-3</v>
      </c>
    </row>
    <row r="36" spans="1:17" ht="15">
      <c r="A36" s="31">
        <v>1</v>
      </c>
      <c r="B36" s="19" t="s">
        <v>355</v>
      </c>
      <c r="C36" s="25" t="s">
        <v>91</v>
      </c>
      <c r="D36" s="62" t="s">
        <v>359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27">
        <v>1.3600000000000001E-3</v>
      </c>
      <c r="Q36" s="28">
        <f t="shared" si="0"/>
        <v>1.3600000000000001E-3</v>
      </c>
    </row>
    <row r="37" spans="1:17" ht="15">
      <c r="A37" s="31">
        <v>1</v>
      </c>
      <c r="B37" s="19" t="s">
        <v>355</v>
      </c>
      <c r="C37" s="25" t="s">
        <v>92</v>
      </c>
      <c r="D37" s="62" t="s">
        <v>359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27">
        <v>1.3600000000000001E-3</v>
      </c>
      <c r="Q37" s="28">
        <f t="shared" si="0"/>
        <v>1.3600000000000001E-3</v>
      </c>
    </row>
    <row r="38" spans="1:17" ht="15">
      <c r="A38" s="31">
        <v>1</v>
      </c>
      <c r="B38" s="19" t="s">
        <v>355</v>
      </c>
      <c r="C38" s="25" t="s">
        <v>93</v>
      </c>
      <c r="D38" s="62" t="s">
        <v>359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/>
      <c r="P38" s="27">
        <v>1.3600000000000001E-3</v>
      </c>
      <c r="Q38" s="28">
        <f t="shared" si="0"/>
        <v>1.3600000000000001E-3</v>
      </c>
    </row>
    <row r="39" spans="1:17" ht="15">
      <c r="A39" s="31">
        <v>1</v>
      </c>
      <c r="B39" s="19" t="s">
        <v>355</v>
      </c>
      <c r="C39" s="25" t="s">
        <v>94</v>
      </c>
      <c r="D39" s="62" t="s">
        <v>359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/>
      <c r="P39" s="27">
        <v>1.3600000000000001E-3</v>
      </c>
      <c r="Q39" s="28">
        <f t="shared" si="0"/>
        <v>1.3600000000000001E-3</v>
      </c>
    </row>
    <row r="40" spans="1:17" ht="15">
      <c r="A40" s="31">
        <v>1</v>
      </c>
      <c r="B40" s="19" t="s">
        <v>355</v>
      </c>
      <c r="C40" s="25" t="s">
        <v>95</v>
      </c>
      <c r="D40" s="62" t="s">
        <v>359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/>
      <c r="P40" s="27">
        <v>1.3600000000000001E-3</v>
      </c>
      <c r="Q40" s="28">
        <f t="shared" si="0"/>
        <v>1.3600000000000001E-3</v>
      </c>
    </row>
    <row r="41" spans="1:17" ht="15">
      <c r="A41" s="31">
        <v>1</v>
      </c>
      <c r="B41" s="19" t="s">
        <v>355</v>
      </c>
      <c r="C41" s="25" t="s">
        <v>96</v>
      </c>
      <c r="D41" s="62" t="s">
        <v>359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/>
      <c r="P41" s="27">
        <v>1.3600000000000001E-3</v>
      </c>
      <c r="Q41" s="28">
        <f t="shared" si="0"/>
        <v>1.3600000000000001E-3</v>
      </c>
    </row>
    <row r="42" spans="1:17" ht="15">
      <c r="A42" s="31">
        <v>1</v>
      </c>
      <c r="B42" s="19" t="s">
        <v>355</v>
      </c>
      <c r="C42" s="25" t="s">
        <v>97</v>
      </c>
      <c r="D42" s="62" t="s">
        <v>359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/>
      <c r="P42" s="27">
        <v>1.3600000000000001E-3</v>
      </c>
      <c r="Q42" s="28">
        <f t="shared" si="0"/>
        <v>1.3600000000000001E-3</v>
      </c>
    </row>
    <row r="43" spans="1:17" ht="15">
      <c r="A43" s="31">
        <v>1</v>
      </c>
      <c r="B43" s="19" t="s">
        <v>355</v>
      </c>
      <c r="C43" s="25" t="s">
        <v>98</v>
      </c>
      <c r="D43" s="62" t="s">
        <v>359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/>
      <c r="P43" s="27">
        <v>1.3600000000000001E-3</v>
      </c>
      <c r="Q43" s="28">
        <f t="shared" si="0"/>
        <v>1.3600000000000001E-3</v>
      </c>
    </row>
    <row r="44" spans="1:17" ht="15">
      <c r="A44" s="31">
        <v>1</v>
      </c>
      <c r="B44" s="19" t="s">
        <v>355</v>
      </c>
      <c r="C44" s="25" t="s">
        <v>99</v>
      </c>
      <c r="D44" s="62" t="s">
        <v>359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/>
      <c r="P44" s="27">
        <v>1.3600000000000001E-3</v>
      </c>
      <c r="Q44" s="28">
        <f t="shared" si="0"/>
        <v>1.3600000000000001E-3</v>
      </c>
    </row>
    <row r="45" spans="1:17" ht="15">
      <c r="A45" s="31">
        <v>1</v>
      </c>
      <c r="B45" s="19" t="s">
        <v>355</v>
      </c>
      <c r="C45" s="25" t="s">
        <v>100</v>
      </c>
      <c r="D45" s="62" t="s">
        <v>359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/>
      <c r="P45" s="27">
        <v>1.3600000000000001E-3</v>
      </c>
      <c r="Q45" s="28">
        <f t="shared" si="0"/>
        <v>1.3600000000000001E-3</v>
      </c>
    </row>
    <row r="46" spans="1:17" ht="15">
      <c r="A46" s="31">
        <v>1</v>
      </c>
      <c r="B46" s="19" t="s">
        <v>355</v>
      </c>
      <c r="C46" s="25" t="s">
        <v>101</v>
      </c>
      <c r="D46" s="62" t="s">
        <v>359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/>
      <c r="P46" s="27">
        <v>1.3600000000000001E-3</v>
      </c>
      <c r="Q46" s="28">
        <f t="shared" si="0"/>
        <v>1.3600000000000001E-3</v>
      </c>
    </row>
    <row r="47" spans="1:17" ht="15">
      <c r="A47" s="31">
        <v>1</v>
      </c>
      <c r="B47" s="19" t="s">
        <v>355</v>
      </c>
      <c r="C47" s="25" t="s">
        <v>102</v>
      </c>
      <c r="D47" s="62" t="s">
        <v>359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19" t="s">
        <v>355</v>
      </c>
      <c r="C48" s="25" t="s">
        <v>103</v>
      </c>
      <c r="D48" s="62" t="s">
        <v>359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19" t="s">
        <v>355</v>
      </c>
      <c r="C49" s="25" t="s">
        <v>104</v>
      </c>
      <c r="D49" s="62" t="s">
        <v>359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19" t="s">
        <v>355</v>
      </c>
      <c r="C50" s="25" t="s">
        <v>105</v>
      </c>
      <c r="D50" s="62" t="s">
        <v>359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19" t="s">
        <v>355</v>
      </c>
      <c r="C51" s="25" t="s">
        <v>360</v>
      </c>
      <c r="D51" s="62" t="s">
        <v>359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19" t="s">
        <v>355</v>
      </c>
      <c r="C52" s="25" t="s">
        <v>361</v>
      </c>
      <c r="D52" s="62" t="s">
        <v>359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19" t="s">
        <v>355</v>
      </c>
      <c r="C53" s="25" t="s">
        <v>362</v>
      </c>
      <c r="D53" s="62" t="s">
        <v>359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19" t="s">
        <v>355</v>
      </c>
      <c r="C54" s="25" t="s">
        <v>363</v>
      </c>
      <c r="D54" s="62" t="s">
        <v>359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19" t="s">
        <v>355</v>
      </c>
      <c r="C55" s="25" t="s">
        <v>364</v>
      </c>
      <c r="D55" s="62" t="s">
        <v>359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19" t="s">
        <v>355</v>
      </c>
      <c r="C56" s="25" t="s">
        <v>365</v>
      </c>
      <c r="D56" s="62" t="s">
        <v>359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19" t="s">
        <v>355</v>
      </c>
      <c r="C57" s="25" t="s">
        <v>366</v>
      </c>
      <c r="D57" s="62" t="s">
        <v>359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f>Q21</f>
        <v>460041.42527999991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 t="s">
        <v>22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 t="s">
        <v>64</v>
      </c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 t="s">
        <v>66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 t="s">
        <v>67</v>
      </c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B7E7-71C3-4D02-9E8E-E2C5406CF75F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70"/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/>
    </row>
    <row r="22" spans="1:17" ht="15">
      <c r="A22" s="29">
        <v>1</v>
      </c>
      <c r="B22" s="19" t="s">
        <v>355</v>
      </c>
      <c r="C22" s="25" t="s">
        <v>367</v>
      </c>
      <c r="D22" s="62" t="s">
        <v>359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19" t="s">
        <v>355</v>
      </c>
      <c r="C23" s="25" t="s">
        <v>368</v>
      </c>
      <c r="D23" s="62" t="s">
        <v>359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355</v>
      </c>
      <c r="C24" s="25" t="s">
        <v>369</v>
      </c>
      <c r="D24" s="62" t="s">
        <v>359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19" t="s">
        <v>355</v>
      </c>
      <c r="C25" s="25" t="s">
        <v>370</v>
      </c>
      <c r="D25" s="62" t="s">
        <v>359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26"/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19" t="s">
        <v>355</v>
      </c>
      <c r="C26" s="25" t="s">
        <v>371</v>
      </c>
      <c r="D26" s="62" t="s">
        <v>359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 t="s">
        <v>355</v>
      </c>
      <c r="C27" s="25" t="s">
        <v>372</v>
      </c>
      <c r="D27" s="62" t="s">
        <v>359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19" t="s">
        <v>355</v>
      </c>
      <c r="C28" s="25" t="s">
        <v>373</v>
      </c>
      <c r="D28" s="62" t="s">
        <v>359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26"/>
      <c r="P28" s="27">
        <v>1.3600000000000001E-3</v>
      </c>
      <c r="Q28" s="28">
        <f t="shared" si="0"/>
        <v>1.3600000000000001E-3</v>
      </c>
    </row>
    <row r="29" spans="1:17" ht="15">
      <c r="A29" s="31">
        <v>1</v>
      </c>
      <c r="B29" s="19" t="s">
        <v>355</v>
      </c>
      <c r="C29" s="25" t="s">
        <v>374</v>
      </c>
      <c r="D29" s="62" t="s">
        <v>359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19" t="s">
        <v>355</v>
      </c>
      <c r="C30" s="25" t="s">
        <v>375</v>
      </c>
      <c r="D30" s="62" t="s">
        <v>359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19" t="s">
        <v>355</v>
      </c>
      <c r="C31" s="25" t="s">
        <v>376</v>
      </c>
      <c r="D31" s="62" t="s">
        <v>359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26"/>
      <c r="P31" s="27">
        <v>1.3600000000000001E-3</v>
      </c>
      <c r="Q31" s="28">
        <f t="shared" si="0"/>
        <v>1.3600000000000001E-3</v>
      </c>
    </row>
    <row r="32" spans="1:17" ht="15">
      <c r="A32" s="31">
        <v>1</v>
      </c>
      <c r="B32" s="19" t="s">
        <v>355</v>
      </c>
      <c r="C32" s="25" t="s">
        <v>377</v>
      </c>
      <c r="D32" s="62" t="s">
        <v>359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26"/>
      <c r="P32" s="27">
        <v>1.3600000000000001E-3</v>
      </c>
      <c r="Q32" s="28">
        <f t="shared" si="0"/>
        <v>1.3600000000000001E-3</v>
      </c>
    </row>
    <row r="33" spans="1:17" ht="15">
      <c r="A33" s="31">
        <v>1</v>
      </c>
      <c r="B33" s="19" t="s">
        <v>355</v>
      </c>
      <c r="C33" s="25" t="s">
        <v>378</v>
      </c>
      <c r="D33" s="62" t="s">
        <v>359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19" t="s">
        <v>355</v>
      </c>
      <c r="C34" s="25" t="s">
        <v>379</v>
      </c>
      <c r="D34" s="62" t="s">
        <v>359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19" t="s">
        <v>355</v>
      </c>
      <c r="C35" s="25" t="s">
        <v>380</v>
      </c>
      <c r="D35" s="62" t="s">
        <v>359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26"/>
      <c r="P35" s="27">
        <v>1.3600000000000001E-3</v>
      </c>
      <c r="Q35" s="28">
        <f t="shared" si="0"/>
        <v>1.3600000000000001E-3</v>
      </c>
    </row>
    <row r="36" spans="1:17" ht="15">
      <c r="A36" s="31">
        <v>1</v>
      </c>
      <c r="B36" s="19" t="s">
        <v>355</v>
      </c>
      <c r="C36" s="25" t="s">
        <v>381</v>
      </c>
      <c r="D36" s="62" t="s">
        <v>359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26"/>
      <c r="P36" s="27">
        <v>1.3600000000000001E-3</v>
      </c>
      <c r="Q36" s="28">
        <f t="shared" si="0"/>
        <v>1.3600000000000001E-3</v>
      </c>
    </row>
    <row r="37" spans="1:17" ht="15">
      <c r="A37" s="31">
        <v>1</v>
      </c>
      <c r="B37" s="19" t="s">
        <v>355</v>
      </c>
      <c r="C37" s="25" t="s">
        <v>382</v>
      </c>
      <c r="D37" s="62" t="s">
        <v>359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26"/>
      <c r="P37" s="27">
        <v>1.3600000000000001E-3</v>
      </c>
      <c r="Q37" s="28">
        <f t="shared" si="0"/>
        <v>1.3600000000000001E-3</v>
      </c>
    </row>
    <row r="38" spans="1:17" ht="15">
      <c r="A38" s="31">
        <v>1</v>
      </c>
      <c r="B38" s="19" t="s">
        <v>355</v>
      </c>
      <c r="C38" s="25" t="s">
        <v>383</v>
      </c>
      <c r="D38" s="62" t="s">
        <v>359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26"/>
      <c r="P38" s="27">
        <v>1.3600000000000001E-3</v>
      </c>
      <c r="Q38" s="28">
        <f t="shared" si="0"/>
        <v>1.3600000000000001E-3</v>
      </c>
    </row>
    <row r="39" spans="1:17" ht="15">
      <c r="A39" s="31">
        <v>1</v>
      </c>
      <c r="B39" s="19" t="s">
        <v>355</v>
      </c>
      <c r="C39" s="25" t="s">
        <v>384</v>
      </c>
      <c r="D39" s="62" t="s">
        <v>359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26"/>
      <c r="P39" s="27">
        <v>1.3600000000000001E-3</v>
      </c>
      <c r="Q39" s="28">
        <f t="shared" si="0"/>
        <v>1.3600000000000001E-3</v>
      </c>
    </row>
    <row r="40" spans="1:17" ht="15">
      <c r="A40" s="31">
        <v>1</v>
      </c>
      <c r="B40" s="19" t="s">
        <v>355</v>
      </c>
      <c r="C40" s="25" t="s">
        <v>385</v>
      </c>
      <c r="D40" s="62" t="s">
        <v>359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26"/>
      <c r="P40" s="27">
        <v>1.3600000000000001E-3</v>
      </c>
      <c r="Q40" s="28">
        <f t="shared" si="0"/>
        <v>1.3600000000000001E-3</v>
      </c>
    </row>
    <row r="41" spans="1:17" ht="15">
      <c r="A41" s="31">
        <v>1</v>
      </c>
      <c r="B41" s="19" t="s">
        <v>355</v>
      </c>
      <c r="C41" s="25" t="s">
        <v>386</v>
      </c>
      <c r="D41" s="62" t="s">
        <v>359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26"/>
      <c r="P41" s="27">
        <v>1.3600000000000001E-3</v>
      </c>
      <c r="Q41" s="28">
        <f t="shared" si="0"/>
        <v>1.3600000000000001E-3</v>
      </c>
    </row>
    <row r="42" spans="1:17" ht="15">
      <c r="A42" s="31">
        <v>1</v>
      </c>
      <c r="B42" s="19" t="s">
        <v>355</v>
      </c>
      <c r="C42" s="25" t="s">
        <v>387</v>
      </c>
      <c r="D42" s="62" t="s">
        <v>359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26"/>
      <c r="P42" s="27">
        <v>1.3600000000000001E-3</v>
      </c>
      <c r="Q42" s="28">
        <f t="shared" si="0"/>
        <v>1.3600000000000001E-3</v>
      </c>
    </row>
    <row r="43" spans="1:17" ht="15">
      <c r="A43" s="31">
        <v>1</v>
      </c>
      <c r="B43" s="19" t="s">
        <v>355</v>
      </c>
      <c r="C43" s="25" t="s">
        <v>388</v>
      </c>
      <c r="D43" s="62" t="s">
        <v>359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26"/>
      <c r="P43" s="27">
        <v>1.3600000000000001E-3</v>
      </c>
      <c r="Q43" s="28">
        <f t="shared" si="0"/>
        <v>1.3600000000000001E-3</v>
      </c>
    </row>
    <row r="44" spans="1:17" ht="15">
      <c r="A44" s="31">
        <v>1</v>
      </c>
      <c r="B44" s="19" t="s">
        <v>355</v>
      </c>
      <c r="C44" s="25" t="s">
        <v>389</v>
      </c>
      <c r="D44" s="62" t="s">
        <v>359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26"/>
      <c r="P44" s="27">
        <v>1.3600000000000001E-3</v>
      </c>
      <c r="Q44" s="28">
        <f t="shared" si="0"/>
        <v>1.3600000000000001E-3</v>
      </c>
    </row>
    <row r="45" spans="1:17" ht="15">
      <c r="A45" s="31">
        <v>1</v>
      </c>
      <c r="B45" s="19" t="s">
        <v>355</v>
      </c>
      <c r="C45" s="25" t="s">
        <v>72</v>
      </c>
      <c r="D45" s="62" t="s">
        <v>357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26"/>
      <c r="P45" s="27">
        <v>1.3600000000000001E-3</v>
      </c>
      <c r="Q45" s="28">
        <f t="shared" si="0"/>
        <v>1.3600000000000001E-3</v>
      </c>
    </row>
    <row r="46" spans="1:17" ht="15">
      <c r="A46" s="31">
        <v>1</v>
      </c>
      <c r="B46" s="19" t="s">
        <v>355</v>
      </c>
      <c r="C46" s="25" t="s">
        <v>73</v>
      </c>
      <c r="D46" s="62" t="s">
        <v>357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26"/>
      <c r="P46" s="27">
        <v>1.3600000000000001E-3</v>
      </c>
      <c r="Q46" s="28">
        <f t="shared" si="0"/>
        <v>1.3600000000000001E-3</v>
      </c>
    </row>
    <row r="47" spans="1:17" ht="15">
      <c r="A47" s="31">
        <v>1</v>
      </c>
      <c r="B47" s="19" t="s">
        <v>355</v>
      </c>
      <c r="C47" s="25" t="s">
        <v>74</v>
      </c>
      <c r="D47" s="62" t="s">
        <v>357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19" t="s">
        <v>355</v>
      </c>
      <c r="C48" s="25" t="s">
        <v>75</v>
      </c>
      <c r="D48" s="62" t="s">
        <v>357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19" t="s">
        <v>355</v>
      </c>
      <c r="C49" s="25" t="s">
        <v>76</v>
      </c>
      <c r="D49" s="62" t="s">
        <v>357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19" t="s">
        <v>355</v>
      </c>
      <c r="C50" s="25" t="s">
        <v>77</v>
      </c>
      <c r="D50" s="62" t="s">
        <v>357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19" t="s">
        <v>355</v>
      </c>
      <c r="C51" s="25" t="s">
        <v>78</v>
      </c>
      <c r="D51" s="62" t="s">
        <v>357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19" t="s">
        <v>355</v>
      </c>
      <c r="C52" s="25" t="s">
        <v>79</v>
      </c>
      <c r="D52" s="62" t="s">
        <v>357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19" t="s">
        <v>355</v>
      </c>
      <c r="C53" s="25" t="s">
        <v>80</v>
      </c>
      <c r="D53" s="62" t="s">
        <v>357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19" t="s">
        <v>355</v>
      </c>
      <c r="C54" s="25" t="s">
        <v>81</v>
      </c>
      <c r="D54" s="62" t="s">
        <v>357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19" t="s">
        <v>355</v>
      </c>
      <c r="C55" s="25" t="s">
        <v>82</v>
      </c>
      <c r="D55" s="62" t="s">
        <v>357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19" t="s">
        <v>355</v>
      </c>
      <c r="C56" s="25" t="s">
        <v>83</v>
      </c>
      <c r="D56" s="62" t="s">
        <v>357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19" t="s">
        <v>355</v>
      </c>
      <c r="C57" s="25" t="s">
        <v>84</v>
      </c>
      <c r="D57" s="62" t="s">
        <v>357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f>SUM(Q21:Q57)</f>
        <v>4.8960000000000004E-2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BC07-CF25-43DB-B9E2-5AA7AAA363BE}">
  <dimension ref="A1:Q64"/>
  <sheetViews>
    <sheetView workbookViewId="0"/>
  </sheetViews>
  <sheetFormatPr baseColWidth="10" defaultRowHeight="14.25"/>
  <cols>
    <col min="1" max="1" width="14" customWidth="1"/>
    <col min="2" max="3" width="14.25" customWidth="1"/>
    <col min="4" max="14" width="10.625" customWidth="1"/>
    <col min="15" max="15" width="16.25" hidden="1" customWidth="1"/>
    <col min="16" max="16" width="16.25" customWidth="1"/>
    <col min="17" max="17" width="14.125" customWidth="1"/>
    <col min="18" max="18" width="11" customWidth="1"/>
  </cols>
  <sheetData>
    <row r="1" spans="1:17">
      <c r="A1" s="39"/>
      <c r="B1" s="39"/>
      <c r="C1" s="39"/>
      <c r="D1" s="39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</row>
    <row r="2" spans="1:17"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</row>
    <row r="3" spans="1:17" ht="15.75">
      <c r="A3" s="40" t="s">
        <v>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4" spans="1:1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5">
      <c r="E5" s="4"/>
      <c r="F5" s="41"/>
      <c r="G5" s="41"/>
      <c r="H5" s="41"/>
      <c r="I5" s="41"/>
      <c r="J5" s="41"/>
      <c r="K5" s="41"/>
      <c r="L5" s="41"/>
      <c r="M5" s="5"/>
      <c r="N5" s="2"/>
      <c r="O5" s="2"/>
      <c r="P5" s="6" t="s">
        <v>1</v>
      </c>
      <c r="Q5" s="7" t="d">
        <v>2025-10-29</v>
      </c>
    </row>
    <row r="6" spans="1:17" ht="15">
      <c r="A6" s="42" t="s">
        <v>2</v>
      </c>
      <c r="B6" s="42"/>
      <c r="C6" s="42"/>
      <c r="D6" s="42"/>
      <c r="E6" s="8"/>
      <c r="F6" s="9" t="s">
        <v>3</v>
      </c>
      <c r="G6" s="10" t="s">
        <v>4</v>
      </c>
      <c r="H6" s="11"/>
      <c r="I6" s="11"/>
      <c r="J6" s="11"/>
      <c r="K6" s="9"/>
      <c r="L6" s="43" t="s">
        <v>5</v>
      </c>
      <c r="M6" s="43"/>
      <c r="N6" s="2"/>
      <c r="O6" s="2"/>
      <c r="P6" s="6" t="s">
        <v>6</v>
      </c>
      <c r="Q6" s="70"/>
    </row>
    <row r="7" spans="1:17">
      <c r="A7" s="44" t="s">
        <v>8</v>
      </c>
      <c r="B7" s="44"/>
      <c r="C7" s="44"/>
      <c r="D7" s="44"/>
      <c r="E7" s="45"/>
      <c r="F7" s="45"/>
      <c r="G7" s="45"/>
      <c r="H7" s="45"/>
      <c r="I7" s="45"/>
      <c r="J7" s="45"/>
      <c r="K7" s="45"/>
      <c r="L7" s="45"/>
      <c r="M7" s="45"/>
      <c r="N7" s="2"/>
      <c r="O7" s="2"/>
      <c r="P7" s="1"/>
      <c r="Q7" s="1"/>
    </row>
    <row r="8" spans="1:17" ht="15">
      <c r="A8" s="46" t="s">
        <v>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</row>
    <row r="9" spans="1:17">
      <c r="A9" s="13" t="s">
        <v>10</v>
      </c>
      <c r="B9" s="14" t="s">
        <v>11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ht="15">
      <c r="A10" s="15">
        <v>10</v>
      </c>
      <c r="B10" s="48" t="s">
        <v>12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spans="1:17" ht="15">
      <c r="A11" s="49" t="s">
        <v>13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</row>
    <row r="12" spans="1:17">
      <c r="A12" s="16" t="s">
        <v>10</v>
      </c>
      <c r="B12" s="17" t="s">
        <v>11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</row>
    <row r="13" spans="1:17" ht="15">
      <c r="A13" s="15" t="s">
        <v>14</v>
      </c>
      <c r="B13" s="51" t="s">
        <v>15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</row>
    <row r="14" spans="1:17" ht="15">
      <c r="A14" s="52" t="s">
        <v>16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>
      <c r="A15" s="16" t="s">
        <v>10</v>
      </c>
      <c r="B15" s="17" t="s">
        <v>11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</row>
    <row r="16" spans="1:17">
      <c r="A16" s="16">
        <v>6970393</v>
      </c>
      <c r="B16" s="53" t="s">
        <v>17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ht="15">
      <c r="A17" s="54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1:17">
      <c r="A18" s="16" t="s">
        <v>10</v>
      </c>
      <c r="B18" s="55" t="s">
        <v>19</v>
      </c>
      <c r="C18" s="55"/>
      <c r="D18" s="55"/>
      <c r="E18" s="55"/>
      <c r="F18" s="55"/>
      <c r="G18" s="57" t="s">
        <v>20</v>
      </c>
      <c r="H18" s="57"/>
      <c r="I18" s="39"/>
      <c r="J18" s="39"/>
      <c r="K18" s="39"/>
      <c r="L18" s="39"/>
      <c r="M18" s="58"/>
      <c r="N18" s="58"/>
      <c r="O18" s="58"/>
      <c r="P18" s="58"/>
      <c r="Q18" s="58"/>
    </row>
    <row r="19" spans="1:17">
      <c r="A19" s="20" t="s">
        <v>21</v>
      </c>
      <c r="B19" s="53" t="s">
        <v>22</v>
      </c>
      <c r="C19" s="53"/>
      <c r="D19" s="53"/>
      <c r="E19" s="53"/>
      <c r="F19" s="53"/>
      <c r="G19" s="59">
        <v>11759229</v>
      </c>
      <c r="H19" s="59"/>
      <c r="I19" s="39"/>
      <c r="J19" s="39"/>
      <c r="K19" s="39"/>
      <c r="L19" s="39"/>
      <c r="M19" s="60"/>
      <c r="N19" s="60"/>
      <c r="O19" s="60"/>
      <c r="P19" s="60"/>
      <c r="Q19" s="60"/>
    </row>
    <row r="20" spans="1:17" ht="44.85" customHeight="1">
      <c r="A20" s="21" t="s">
        <v>23</v>
      </c>
      <c r="B20" s="22" t="s">
        <v>24</v>
      </c>
      <c r="C20" s="23" t="s">
        <v>25</v>
      </c>
      <c r="D20" s="61" t="s">
        <v>26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23" t="s">
        <v>27</v>
      </c>
      <c r="Q20" s="21" t="s">
        <v>28</v>
      </c>
    </row>
    <row r="21" spans="1:17" ht="15.75">
      <c r="A21" s="24"/>
      <c r="B21" s="19"/>
      <c r="C21" s="25"/>
      <c r="D21" s="66" t="s">
        <v>69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5" t="s">
        <v>32</v>
      </c>
      <c r="P21" s="27"/>
      <c r="Q21" s="28"/>
    </row>
    <row r="22" spans="1:17" ht="15">
      <c r="A22" s="29">
        <v>1</v>
      </c>
      <c r="B22" s="19" t="s">
        <v>355</v>
      </c>
      <c r="C22" s="25" t="s">
        <v>85</v>
      </c>
      <c r="D22" s="62" t="s">
        <v>357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6"/>
      <c r="P22" s="27">
        <v>1.3600000000000001E-3</v>
      </c>
      <c r="Q22" s="28">
        <f t="shared" ref="Q22:Q57" si="0">P22*A22</f>
        <v>1.3600000000000001E-3</v>
      </c>
    </row>
    <row r="23" spans="1:17" ht="15">
      <c r="A23" s="30">
        <v>1</v>
      </c>
      <c r="B23" s="19" t="s">
        <v>355</v>
      </c>
      <c r="C23" s="25" t="s">
        <v>86</v>
      </c>
      <c r="D23" s="62" t="s">
        <v>357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26"/>
      <c r="P23" s="27">
        <v>1.3600000000000001E-3</v>
      </c>
      <c r="Q23" s="28">
        <f t="shared" si="0"/>
        <v>1.3600000000000001E-3</v>
      </c>
    </row>
    <row r="24" spans="1:17" ht="15">
      <c r="A24" s="29">
        <v>1</v>
      </c>
      <c r="B24" s="19" t="s">
        <v>390</v>
      </c>
      <c r="C24" s="25" t="s">
        <v>31</v>
      </c>
      <c r="D24" s="62" t="s">
        <v>391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26"/>
      <c r="P24" s="27">
        <v>1.3600000000000001E-3</v>
      </c>
      <c r="Q24" s="28">
        <f t="shared" si="0"/>
        <v>1.3600000000000001E-3</v>
      </c>
    </row>
    <row r="25" spans="1:17" ht="15">
      <c r="A25" s="31">
        <v>1</v>
      </c>
      <c r="B25" s="19"/>
      <c r="C25" s="25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26"/>
      <c r="P25" s="27">
        <v>1.3600000000000001E-3</v>
      </c>
      <c r="Q25" s="28">
        <f t="shared" si="0"/>
        <v>1.3600000000000001E-3</v>
      </c>
    </row>
    <row r="26" spans="1:17" ht="15">
      <c r="A26" s="31">
        <v>1</v>
      </c>
      <c r="B26" s="19"/>
      <c r="C26" s="25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26"/>
      <c r="P26" s="27">
        <v>1.3600000000000001E-3</v>
      </c>
      <c r="Q26" s="28">
        <f t="shared" si="0"/>
        <v>1.3600000000000001E-3</v>
      </c>
    </row>
    <row r="27" spans="1:17" ht="15">
      <c r="A27" s="31">
        <v>1</v>
      </c>
      <c r="B27" s="19"/>
      <c r="C27" s="25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26"/>
      <c r="P27" s="27">
        <v>1.3600000000000001E-3</v>
      </c>
      <c r="Q27" s="28">
        <f t="shared" si="0"/>
        <v>1.3600000000000001E-3</v>
      </c>
    </row>
    <row r="28" spans="1:17" ht="15">
      <c r="A28" s="31">
        <v>1</v>
      </c>
      <c r="B28" s="19"/>
      <c r="C28" s="25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6"/>
      <c r="P28" s="27">
        <v>1.3600000000000001E-3</v>
      </c>
      <c r="Q28" s="28">
        <f t="shared" si="0"/>
        <v>1.3600000000000001E-3</v>
      </c>
    </row>
    <row r="29" spans="1:17" ht="15">
      <c r="A29" s="31">
        <v>1</v>
      </c>
      <c r="B29" s="19"/>
      <c r="C29" s="25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26"/>
      <c r="P29" s="27">
        <v>1.3600000000000001E-3</v>
      </c>
      <c r="Q29" s="28">
        <f t="shared" si="0"/>
        <v>1.3600000000000001E-3</v>
      </c>
    </row>
    <row r="30" spans="1:17" ht="15">
      <c r="A30" s="31">
        <v>1</v>
      </c>
      <c r="B30" s="19"/>
      <c r="C30" s="25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26"/>
      <c r="P30" s="27">
        <v>1.3600000000000001E-3</v>
      </c>
      <c r="Q30" s="28">
        <f t="shared" si="0"/>
        <v>1.3600000000000001E-3</v>
      </c>
    </row>
    <row r="31" spans="1:17" ht="15">
      <c r="A31" s="31">
        <v>1</v>
      </c>
      <c r="B31" s="19"/>
      <c r="C31" s="25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26"/>
      <c r="P31" s="27">
        <v>1.3600000000000001E-3</v>
      </c>
      <c r="Q31" s="28">
        <f t="shared" si="0"/>
        <v>1.3600000000000001E-3</v>
      </c>
    </row>
    <row r="32" spans="1:17" ht="15">
      <c r="A32" s="31">
        <v>1</v>
      </c>
      <c r="B32" s="19"/>
      <c r="C32" s="25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26"/>
      <c r="P32" s="27">
        <v>1.3600000000000001E-3</v>
      </c>
      <c r="Q32" s="28">
        <f t="shared" si="0"/>
        <v>1.3600000000000001E-3</v>
      </c>
    </row>
    <row r="33" spans="1:17" ht="15">
      <c r="A33" s="31">
        <v>1</v>
      </c>
      <c r="B33" s="19"/>
      <c r="C33" s="25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26"/>
      <c r="P33" s="27">
        <v>1.3600000000000001E-3</v>
      </c>
      <c r="Q33" s="28">
        <f t="shared" si="0"/>
        <v>1.3600000000000001E-3</v>
      </c>
    </row>
    <row r="34" spans="1:17" ht="15">
      <c r="A34" s="31">
        <v>1</v>
      </c>
      <c r="B34" s="19"/>
      <c r="C34" s="25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26"/>
      <c r="P34" s="27">
        <v>1.3600000000000001E-3</v>
      </c>
      <c r="Q34" s="28">
        <f t="shared" si="0"/>
        <v>1.3600000000000001E-3</v>
      </c>
    </row>
    <row r="35" spans="1:17" ht="15">
      <c r="A35" s="31">
        <v>1</v>
      </c>
      <c r="B35" s="19"/>
      <c r="C35" s="25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26"/>
      <c r="P35" s="27">
        <v>1.3600000000000001E-3</v>
      </c>
      <c r="Q35" s="28">
        <f t="shared" si="0"/>
        <v>1.3600000000000001E-3</v>
      </c>
    </row>
    <row r="36" spans="1:17" ht="15">
      <c r="A36" s="31">
        <v>1</v>
      </c>
      <c r="B36" s="19"/>
      <c r="C36" s="25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6"/>
      <c r="P36" s="27">
        <v>1.3600000000000001E-3</v>
      </c>
      <c r="Q36" s="28">
        <f t="shared" si="0"/>
        <v>1.3600000000000001E-3</v>
      </c>
    </row>
    <row r="37" spans="1:17" ht="15">
      <c r="A37" s="31">
        <v>1</v>
      </c>
      <c r="B37" s="19"/>
      <c r="C37" s="25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26"/>
      <c r="P37" s="27">
        <v>1.3600000000000001E-3</v>
      </c>
      <c r="Q37" s="28">
        <f t="shared" si="0"/>
        <v>1.3600000000000001E-3</v>
      </c>
    </row>
    <row r="38" spans="1:17" ht="15">
      <c r="A38" s="31">
        <v>1</v>
      </c>
      <c r="B38" s="19"/>
      <c r="C38" s="25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26"/>
      <c r="P38" s="27">
        <v>1.3600000000000001E-3</v>
      </c>
      <c r="Q38" s="28">
        <f t="shared" si="0"/>
        <v>1.3600000000000001E-3</v>
      </c>
    </row>
    <row r="39" spans="1:17" ht="15">
      <c r="A39" s="31">
        <v>1</v>
      </c>
      <c r="B39" s="19"/>
      <c r="C39" s="25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26"/>
      <c r="P39" s="27">
        <v>1.3600000000000001E-3</v>
      </c>
      <c r="Q39" s="28">
        <f t="shared" si="0"/>
        <v>1.3600000000000001E-3</v>
      </c>
    </row>
    <row r="40" spans="1:17" ht="15">
      <c r="A40" s="31">
        <v>1</v>
      </c>
      <c r="B40" s="19"/>
      <c r="C40" s="25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26"/>
      <c r="P40" s="27">
        <v>1.3600000000000001E-3</v>
      </c>
      <c r="Q40" s="28">
        <f t="shared" si="0"/>
        <v>1.3600000000000001E-3</v>
      </c>
    </row>
    <row r="41" spans="1:17" ht="15">
      <c r="A41" s="31">
        <v>1</v>
      </c>
      <c r="B41" s="19"/>
      <c r="C41" s="25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26"/>
      <c r="P41" s="27">
        <v>1.3600000000000001E-3</v>
      </c>
      <c r="Q41" s="28">
        <f t="shared" si="0"/>
        <v>1.3600000000000001E-3</v>
      </c>
    </row>
    <row r="42" spans="1:17" ht="15">
      <c r="A42" s="31">
        <v>1</v>
      </c>
      <c r="B42" s="19"/>
      <c r="C42" s="25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26"/>
      <c r="P42" s="27">
        <v>1.3600000000000001E-3</v>
      </c>
      <c r="Q42" s="28">
        <f t="shared" si="0"/>
        <v>1.3600000000000001E-3</v>
      </c>
    </row>
    <row r="43" spans="1:17" ht="15">
      <c r="A43" s="31">
        <v>1</v>
      </c>
      <c r="B43" s="19"/>
      <c r="C43" s="25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26"/>
      <c r="P43" s="27">
        <v>1.3600000000000001E-3</v>
      </c>
      <c r="Q43" s="28">
        <f t="shared" si="0"/>
        <v>1.3600000000000001E-3</v>
      </c>
    </row>
    <row r="44" spans="1:17" ht="15">
      <c r="A44" s="31">
        <v>1</v>
      </c>
      <c r="B44" s="19"/>
      <c r="C44" s="25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26"/>
      <c r="P44" s="27">
        <v>1.3600000000000001E-3</v>
      </c>
      <c r="Q44" s="28">
        <f t="shared" si="0"/>
        <v>1.3600000000000001E-3</v>
      </c>
    </row>
    <row r="45" spans="1:17" ht="15">
      <c r="A45" s="31">
        <v>1</v>
      </c>
      <c r="B45" s="19"/>
      <c r="C45" s="25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26"/>
      <c r="P45" s="27">
        <v>1.3600000000000001E-3</v>
      </c>
      <c r="Q45" s="28">
        <f t="shared" si="0"/>
        <v>1.3600000000000001E-3</v>
      </c>
    </row>
    <row r="46" spans="1:17" ht="15">
      <c r="A46" s="31">
        <v>1</v>
      </c>
      <c r="B46" s="19"/>
      <c r="C46" s="25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26"/>
      <c r="P46" s="27">
        <v>1.3600000000000001E-3</v>
      </c>
      <c r="Q46" s="28">
        <f t="shared" si="0"/>
        <v>1.3600000000000001E-3</v>
      </c>
    </row>
    <row r="47" spans="1:17" ht="15">
      <c r="A47" s="31">
        <v>1</v>
      </c>
      <c r="B47" s="19"/>
      <c r="C47" s="25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26"/>
      <c r="P47" s="27">
        <v>1.3600000000000001E-3</v>
      </c>
      <c r="Q47" s="28">
        <f t="shared" si="0"/>
        <v>1.3600000000000001E-3</v>
      </c>
    </row>
    <row r="48" spans="1:17" ht="15">
      <c r="A48" s="31">
        <v>1</v>
      </c>
      <c r="B48" s="19"/>
      <c r="C48" s="25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26"/>
      <c r="P48" s="27">
        <v>1.3600000000000001E-3</v>
      </c>
      <c r="Q48" s="28">
        <f t="shared" si="0"/>
        <v>1.3600000000000001E-3</v>
      </c>
    </row>
    <row r="49" spans="1:17" ht="15">
      <c r="A49" s="31">
        <v>1</v>
      </c>
      <c r="B49" s="19"/>
      <c r="C49" s="25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26"/>
      <c r="P49" s="27">
        <v>1.3600000000000001E-3</v>
      </c>
      <c r="Q49" s="28">
        <f t="shared" si="0"/>
        <v>1.3600000000000001E-3</v>
      </c>
    </row>
    <row r="50" spans="1:17" ht="15">
      <c r="A50" s="31">
        <v>1</v>
      </c>
      <c r="B50" s="19"/>
      <c r="C50" s="25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26"/>
      <c r="P50" s="27">
        <v>1.3600000000000001E-3</v>
      </c>
      <c r="Q50" s="28">
        <f t="shared" si="0"/>
        <v>1.3600000000000001E-3</v>
      </c>
    </row>
    <row r="51" spans="1:17" ht="15">
      <c r="A51" s="31">
        <v>1</v>
      </c>
      <c r="B51" s="19"/>
      <c r="C51" s="25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26"/>
      <c r="P51" s="27">
        <v>1.3600000000000001E-3</v>
      </c>
      <c r="Q51" s="28">
        <f t="shared" si="0"/>
        <v>1.3600000000000001E-3</v>
      </c>
    </row>
    <row r="52" spans="1:17" ht="15">
      <c r="A52" s="31">
        <v>1</v>
      </c>
      <c r="B52" s="19"/>
      <c r="C52" s="25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26"/>
      <c r="P52" s="27">
        <v>1.3600000000000001E-3</v>
      </c>
      <c r="Q52" s="28">
        <f t="shared" si="0"/>
        <v>1.3600000000000001E-3</v>
      </c>
    </row>
    <row r="53" spans="1:17" ht="15">
      <c r="A53" s="31">
        <v>1</v>
      </c>
      <c r="B53" s="19"/>
      <c r="C53" s="25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26"/>
      <c r="P53" s="27">
        <v>1.3600000000000001E-3</v>
      </c>
      <c r="Q53" s="28">
        <f t="shared" si="0"/>
        <v>1.3600000000000001E-3</v>
      </c>
    </row>
    <row r="54" spans="1:17" ht="15">
      <c r="A54" s="31">
        <v>1</v>
      </c>
      <c r="B54" s="19"/>
      <c r="C54" s="25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26"/>
      <c r="P54" s="27">
        <v>1.3600000000000001E-3</v>
      </c>
      <c r="Q54" s="28">
        <f t="shared" si="0"/>
        <v>1.3600000000000001E-3</v>
      </c>
    </row>
    <row r="55" spans="1:17" ht="15">
      <c r="A55" s="31">
        <v>1</v>
      </c>
      <c r="B55" s="19"/>
      <c r="C55" s="25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26"/>
      <c r="P55" s="27">
        <v>1.3600000000000001E-3</v>
      </c>
      <c r="Q55" s="28">
        <f t="shared" si="0"/>
        <v>1.3600000000000001E-3</v>
      </c>
    </row>
    <row r="56" spans="1:17" ht="15">
      <c r="A56" s="31">
        <v>1</v>
      </c>
      <c r="B56" s="19"/>
      <c r="C56" s="25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26"/>
      <c r="P56" s="27">
        <v>1.3600000000000001E-3</v>
      </c>
      <c r="Q56" s="28">
        <f t="shared" si="0"/>
        <v>1.3600000000000001E-3</v>
      </c>
    </row>
    <row r="57" spans="1:17" ht="15">
      <c r="A57" s="32">
        <v>1</v>
      </c>
      <c r="B57" s="19"/>
      <c r="C57" s="25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26"/>
      <c r="P57" s="27">
        <v>1.3600000000000001E-3</v>
      </c>
      <c r="Q57" s="28">
        <f t="shared" si="0"/>
        <v>1.3600000000000001E-3</v>
      </c>
    </row>
    <row r="58" spans="1:17" ht="15.75">
      <c r="A58" s="33"/>
      <c r="B58" s="34"/>
      <c r="C58" s="35"/>
      <c r="D58" s="63" t="s">
        <v>59</v>
      </c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37"/>
      <c r="Q58" s="27">
        <f>SUM(Q21:Q57)</f>
        <v>4.8960000000000004E-2</v>
      </c>
    </row>
    <row r="59" spans="1:17" ht="15">
      <c r="A59" s="64" t="s">
        <v>60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ht="15">
      <c r="A60" s="53"/>
      <c r="B60" s="53"/>
      <c r="C60" s="36"/>
      <c r="D60" s="63" t="s">
        <v>61</v>
      </c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 t="s">
        <v>62</v>
      </c>
      <c r="Q60" s="63"/>
    </row>
    <row r="61" spans="1:17" ht="15">
      <c r="A61" s="51" t="s">
        <v>63</v>
      </c>
      <c r="B61" s="51"/>
      <c r="C61" s="18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</row>
    <row r="62" spans="1:17" ht="15">
      <c r="A62" s="53"/>
      <c r="B62" s="53"/>
      <c r="C62" s="1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</row>
    <row r="63" spans="1:17" ht="15">
      <c r="A63" s="51" t="s">
        <v>65</v>
      </c>
      <c r="B63" s="51"/>
      <c r="C63" s="38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</row>
    <row r="64" spans="1:17">
      <c r="A64" s="53"/>
      <c r="B64" s="53"/>
      <c r="C64" s="19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</row>
  </sheetData>
  <mergeCells count="80">
    <mergeCell ref="A64:B64"/>
    <mergeCell ref="D64:O64"/>
    <mergeCell ref="P64:Q64"/>
    <mergeCell ref="A62:B62"/>
    <mergeCell ref="D62:O62"/>
    <mergeCell ref="P62:Q62"/>
    <mergeCell ref="A63:B63"/>
    <mergeCell ref="D63:O63"/>
    <mergeCell ref="P63:Q63"/>
    <mergeCell ref="D58:O58"/>
    <mergeCell ref="A59:Q59"/>
    <mergeCell ref="A60:B60"/>
    <mergeCell ref="D60:O60"/>
    <mergeCell ref="P60:Q60"/>
    <mergeCell ref="A61:B61"/>
    <mergeCell ref="D61:O61"/>
    <mergeCell ref="P61:Q61"/>
    <mergeCell ref="D52:N52"/>
    <mergeCell ref="D53:N53"/>
    <mergeCell ref="D54:N54"/>
    <mergeCell ref="D55:N55"/>
    <mergeCell ref="D56:N56"/>
    <mergeCell ref="D57:N57"/>
    <mergeCell ref="D46:N46"/>
    <mergeCell ref="D47:N47"/>
    <mergeCell ref="D48:N48"/>
    <mergeCell ref="D49:N49"/>
    <mergeCell ref="D50:N50"/>
    <mergeCell ref="D51:N51"/>
    <mergeCell ref="D40:N40"/>
    <mergeCell ref="D41:N41"/>
    <mergeCell ref="D42:N42"/>
    <mergeCell ref="D43:N43"/>
    <mergeCell ref="D44:N44"/>
    <mergeCell ref="D45:N45"/>
    <mergeCell ref="D34:N34"/>
    <mergeCell ref="D35:N35"/>
    <mergeCell ref="D36:N36"/>
    <mergeCell ref="D37:N37"/>
    <mergeCell ref="D38:N38"/>
    <mergeCell ref="D39:N39"/>
    <mergeCell ref="D28:N28"/>
    <mergeCell ref="D29:N29"/>
    <mergeCell ref="D30:N30"/>
    <mergeCell ref="D31:N31"/>
    <mergeCell ref="D32:N32"/>
    <mergeCell ref="D33:N33"/>
    <mergeCell ref="D22:N22"/>
    <mergeCell ref="D23:N23"/>
    <mergeCell ref="D24:N24"/>
    <mergeCell ref="D25:N25"/>
    <mergeCell ref="D26:N26"/>
    <mergeCell ref="D27:N27"/>
    <mergeCell ref="B19:F19"/>
    <mergeCell ref="G19:H19"/>
    <mergeCell ref="I19:L19"/>
    <mergeCell ref="M19:Q19"/>
    <mergeCell ref="D20:O20"/>
    <mergeCell ref="D21:N21"/>
    <mergeCell ref="A14:Q14"/>
    <mergeCell ref="C15:Q15"/>
    <mergeCell ref="B16:Q16"/>
    <mergeCell ref="A17:Q17"/>
    <mergeCell ref="B18:F18"/>
    <mergeCell ref="G18:H18"/>
    <mergeCell ref="I18:L18"/>
    <mergeCell ref="M18:Q18"/>
    <mergeCell ref="A8:Q8"/>
    <mergeCell ref="C9:Q9"/>
    <mergeCell ref="B10:Q10"/>
    <mergeCell ref="A11:Q11"/>
    <mergeCell ref="C12:Q12"/>
    <mergeCell ref="B13:Q13"/>
    <mergeCell ref="A1:D1"/>
    <mergeCell ref="A3:Q3"/>
    <mergeCell ref="F5:L5"/>
    <mergeCell ref="A6:D6"/>
    <mergeCell ref="L6:M6"/>
    <mergeCell ref="A7:D7"/>
    <mergeCell ref="E7:M7"/>
  </mergeCells>
  <pageMargins left="0" right="0" top="0.39370078740157505" bottom="0.39370078740157505" header="0" footer="0"/>
  <pageSetup paperSize="0" scale="60" fitToWidth="0" fitToHeight="0" pageOrder="overThenDown" orientation="landscape" useFirstPageNumber="1" horizontalDpi="0" verticalDpi="0" copies="0"/>
  <drawing r:id="rId1"/>
</worksheet>
</file>

<file path=docProps/app.xml><?xml version="1.0" encoding="utf-8"?>
<Properties xmlns="http://purl.oclc.org/ooxml/officeDocument/extendedProperties" xmlns:vt="http://purl.oclc.org/ooxml/officeDocument/docPropsVTypes">
  <TotalTime>66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Hoja_1</vt:lpstr>
      <vt:lpstr>Hoja_2</vt:lpstr>
      <vt:lpstr>Hoja_3</vt:lpstr>
      <vt:lpstr>Hoja_4</vt:lpstr>
      <vt:lpstr>Hoja_5</vt:lpstr>
      <vt:lpstr>Hoja_6</vt:lpstr>
      <vt:lpstr>Hoja_7</vt:lpstr>
      <vt:lpstr>Hoja_8</vt:lpstr>
      <vt:lpstr>Hoja_9</vt:lpstr>
      <vt:lpstr>Hoja_10</vt:lpstr>
      <vt:lpstr>Hoja_4_(8)</vt:lpstr>
      <vt:lpstr>Hoja_4_(9)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Anthony Montilla</cp:lastModifiedBy>
  <cp:revision>12</cp:revision>
  <dcterms:created xsi:type="dcterms:W3CDTF">2024-10-28T14:35:20Z</dcterms:created>
  <dcterms:modified xsi:type="dcterms:W3CDTF">2025-11-01T22:29:24Z</dcterms:modified>
</cp:coreProperties>
</file>